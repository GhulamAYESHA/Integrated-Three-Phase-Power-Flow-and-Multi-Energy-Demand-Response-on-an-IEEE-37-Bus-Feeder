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k070\Downloads\"/>
    </mc:Choice>
  </mc:AlternateContent>
  <xr:revisionPtr revIDLastSave="0" documentId="13_ncr:1_{EB178B39-E0AC-4CBB-A8CC-BA645BCBF7E8}" xr6:coauthVersionLast="47" xr6:coauthVersionMax="47" xr10:uidLastSave="{00000000-0000-0000-0000-000000000000}"/>
  <bookViews>
    <workbookView xWindow="204" yWindow="0" windowWidth="22836" windowHeight="12360" xr2:uid="{00000000-000D-0000-FFFF-FFFF00000000}"/>
  </bookViews>
  <sheets>
    <sheet name="Sheet1" sheetId="2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P3" i="2" l="1"/>
  <c r="Q3" i="2"/>
  <c r="R3" i="2"/>
  <c r="S3" i="2"/>
  <c r="T3" i="2"/>
  <c r="U3" i="2"/>
  <c r="P4" i="2"/>
  <c r="Q4" i="2"/>
  <c r="R4" i="2"/>
  <c r="S4" i="2"/>
  <c r="T4" i="2"/>
  <c r="U4" i="2"/>
  <c r="P5" i="2"/>
  <c r="Q5" i="2"/>
  <c r="R5" i="2"/>
  <c r="S5" i="2"/>
  <c r="T5" i="2"/>
  <c r="U5" i="2"/>
  <c r="P6" i="2"/>
  <c r="Q6" i="2"/>
  <c r="R6" i="2"/>
  <c r="S6" i="2"/>
  <c r="T6" i="2"/>
  <c r="U6" i="2"/>
  <c r="P7" i="2"/>
  <c r="Q7" i="2"/>
  <c r="R7" i="2"/>
  <c r="S7" i="2"/>
  <c r="T7" i="2"/>
  <c r="U7" i="2"/>
  <c r="P8" i="2"/>
  <c r="Q8" i="2"/>
  <c r="R8" i="2"/>
  <c r="S8" i="2"/>
  <c r="T8" i="2"/>
  <c r="U8" i="2"/>
  <c r="P9" i="2"/>
  <c r="Q9" i="2"/>
  <c r="R9" i="2"/>
  <c r="S9" i="2"/>
  <c r="T9" i="2"/>
  <c r="U9" i="2"/>
  <c r="P10" i="2"/>
  <c r="Q10" i="2"/>
  <c r="R10" i="2"/>
  <c r="S10" i="2"/>
  <c r="T10" i="2"/>
  <c r="U10" i="2"/>
  <c r="P11" i="2"/>
  <c r="Q11" i="2"/>
  <c r="R11" i="2"/>
  <c r="S11" i="2"/>
  <c r="T11" i="2"/>
  <c r="U11" i="2"/>
  <c r="P12" i="2"/>
  <c r="Q12" i="2"/>
  <c r="R12" i="2"/>
  <c r="S12" i="2"/>
  <c r="T12" i="2"/>
  <c r="U12" i="2"/>
  <c r="P13" i="2"/>
  <c r="Q13" i="2"/>
  <c r="R13" i="2"/>
  <c r="S13" i="2"/>
  <c r="T13" i="2"/>
  <c r="U13" i="2"/>
  <c r="P14" i="2"/>
  <c r="Q14" i="2"/>
  <c r="R14" i="2"/>
  <c r="S14" i="2"/>
  <c r="T14" i="2"/>
  <c r="U14" i="2"/>
  <c r="P15" i="2"/>
  <c r="Q15" i="2"/>
  <c r="R15" i="2"/>
  <c r="S15" i="2"/>
  <c r="T15" i="2"/>
  <c r="U15" i="2"/>
  <c r="P16" i="2"/>
  <c r="Q16" i="2"/>
  <c r="R16" i="2"/>
  <c r="S16" i="2"/>
  <c r="T16" i="2"/>
  <c r="U16" i="2"/>
  <c r="P17" i="2"/>
  <c r="Q17" i="2"/>
  <c r="R17" i="2"/>
  <c r="S17" i="2"/>
  <c r="T17" i="2"/>
  <c r="U17" i="2"/>
  <c r="P18" i="2"/>
  <c r="Q18" i="2"/>
  <c r="R18" i="2"/>
  <c r="S18" i="2"/>
  <c r="T18" i="2"/>
  <c r="U18" i="2"/>
  <c r="P19" i="2"/>
  <c r="Q19" i="2"/>
  <c r="R19" i="2"/>
  <c r="S19" i="2"/>
  <c r="T19" i="2"/>
  <c r="U19" i="2"/>
  <c r="P20" i="2"/>
  <c r="Q20" i="2"/>
  <c r="R20" i="2"/>
  <c r="S20" i="2"/>
  <c r="T20" i="2"/>
  <c r="U20" i="2"/>
  <c r="P21" i="2"/>
  <c r="Q21" i="2"/>
  <c r="R21" i="2"/>
  <c r="S21" i="2"/>
  <c r="T21" i="2"/>
  <c r="U21" i="2"/>
  <c r="P22" i="2"/>
  <c r="Q22" i="2"/>
  <c r="R22" i="2"/>
  <c r="S22" i="2"/>
  <c r="T22" i="2"/>
  <c r="U22" i="2"/>
  <c r="P23" i="2"/>
  <c r="Q23" i="2"/>
  <c r="R23" i="2"/>
  <c r="S23" i="2"/>
  <c r="T23" i="2"/>
  <c r="U23" i="2"/>
  <c r="P24" i="2"/>
  <c r="Q24" i="2"/>
  <c r="R24" i="2"/>
  <c r="S24" i="2"/>
  <c r="T24" i="2"/>
  <c r="U24" i="2"/>
  <c r="P25" i="2"/>
  <c r="Q25" i="2"/>
  <c r="R25" i="2"/>
  <c r="S25" i="2"/>
  <c r="T25" i="2"/>
  <c r="U25" i="2"/>
  <c r="P26" i="2"/>
  <c r="Q26" i="2"/>
  <c r="R26" i="2"/>
  <c r="S26" i="2"/>
  <c r="T26" i="2"/>
  <c r="U26" i="2"/>
  <c r="P27" i="2"/>
  <c r="Q27" i="2"/>
  <c r="R27" i="2"/>
  <c r="S27" i="2"/>
  <c r="T27" i="2"/>
  <c r="U27" i="2"/>
  <c r="P28" i="2"/>
  <c r="Q28" i="2"/>
  <c r="R28" i="2"/>
  <c r="S28" i="2"/>
  <c r="T28" i="2"/>
  <c r="U28" i="2"/>
  <c r="P29" i="2"/>
  <c r="Q29" i="2"/>
  <c r="R29" i="2"/>
  <c r="S29" i="2"/>
  <c r="T29" i="2"/>
  <c r="U29" i="2"/>
  <c r="P30" i="2"/>
  <c r="Q30" i="2"/>
  <c r="R30" i="2"/>
  <c r="S30" i="2"/>
  <c r="T30" i="2"/>
  <c r="U30" i="2"/>
  <c r="P31" i="2"/>
  <c r="Q31" i="2"/>
  <c r="R31" i="2"/>
  <c r="S31" i="2"/>
  <c r="T31" i="2"/>
  <c r="U31" i="2"/>
  <c r="P32" i="2"/>
  <c r="Q32" i="2"/>
  <c r="R32" i="2"/>
  <c r="S32" i="2"/>
  <c r="T32" i="2"/>
  <c r="U32" i="2"/>
  <c r="P33" i="2"/>
  <c r="Q33" i="2"/>
  <c r="R33" i="2"/>
  <c r="S33" i="2"/>
  <c r="T33" i="2"/>
  <c r="U33" i="2"/>
  <c r="Q2" i="2"/>
  <c r="R2" i="2"/>
  <c r="S2" i="2"/>
  <c r="T2" i="2"/>
  <c r="U2" i="2"/>
  <c r="P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2" i="2"/>
</calcChain>
</file>

<file path=xl/sharedStrings.xml><?xml version="1.0" encoding="utf-8"?>
<sst xmlns="http://schemas.openxmlformats.org/spreadsheetml/2006/main" count="31" uniqueCount="31">
  <si>
    <t>from</t>
  </si>
  <si>
    <t>to</t>
  </si>
  <si>
    <t>branch</t>
  </si>
  <si>
    <t>Raa</t>
  </si>
  <si>
    <t>Rbb</t>
  </si>
  <si>
    <t>Rcc</t>
  </si>
  <si>
    <t>Rab_Rba</t>
  </si>
  <si>
    <t>Rac_Rca</t>
  </si>
  <si>
    <t>Rbc_Rcb</t>
  </si>
  <si>
    <t>Xaa</t>
  </si>
  <si>
    <t>Xbb</t>
  </si>
  <si>
    <t>Xcc</t>
  </si>
  <si>
    <t>Xab_Xba</t>
  </si>
  <si>
    <t>Xac_Xca</t>
  </si>
  <si>
    <t>Xbc_Xcb</t>
  </si>
  <si>
    <t>Pa</t>
  </si>
  <si>
    <t>n1</t>
  </si>
  <si>
    <t>n</t>
  </si>
  <si>
    <t>n2</t>
  </si>
  <si>
    <t>n3</t>
  </si>
  <si>
    <t>n4</t>
  </si>
  <si>
    <t>n5</t>
  </si>
  <si>
    <t>n6</t>
  </si>
  <si>
    <t>n7</t>
  </si>
  <si>
    <t>n8</t>
  </si>
  <si>
    <t>Pb</t>
  </si>
  <si>
    <t>Pc</t>
  </si>
  <si>
    <t>Qc</t>
  </si>
  <si>
    <t>Qb</t>
  </si>
  <si>
    <t>n0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</si>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</sst>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 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Freelance%20work\Fiverr%20and%20Upwork\Shahin%20china%20electric%20conference\IEEE33&#33410;&#28857;&#19977;&#30456;&#37197;&#32593;&#21442;&#25968;-for%20&#27801;&#27427;.xlsx" TargetMode="External"/><Relationship Id="rId1" Type="http://schemas.openxmlformats.org/officeDocument/2006/relationships/externalLinkPath" Target="file:///E:\Freelance%20work\Fiverr%20and%20Upwork\Shahin%20china%20electric%20conference\IEEE33&#33410;&#28857;&#19977;&#30456;&#37197;&#32593;&#21442;&#25968;-for%20&#27801;&#274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4">
          <cell r="B4"/>
          <cell r="C4"/>
        </row>
        <row r="5">
          <cell r="B5">
            <v>0</v>
          </cell>
          <cell r="C5">
            <v>1</v>
          </cell>
        </row>
        <row r="6">
          <cell r="B6">
            <v>1</v>
          </cell>
          <cell r="C6">
            <v>2</v>
          </cell>
        </row>
        <row r="7">
          <cell r="B7">
            <v>2</v>
          </cell>
          <cell r="C7">
            <v>3</v>
          </cell>
        </row>
        <row r="8">
          <cell r="B8">
            <v>3</v>
          </cell>
          <cell r="C8">
            <v>4</v>
          </cell>
        </row>
        <row r="9">
          <cell r="B9">
            <v>4</v>
          </cell>
          <cell r="C9">
            <v>5</v>
          </cell>
        </row>
        <row r="10">
          <cell r="B10">
            <v>5</v>
          </cell>
          <cell r="C10">
            <v>6</v>
          </cell>
        </row>
        <row r="11">
          <cell r="B11">
            <v>6</v>
          </cell>
          <cell r="C11">
            <v>7</v>
          </cell>
        </row>
        <row r="12">
          <cell r="B12">
            <v>7</v>
          </cell>
          <cell r="C12">
            <v>8</v>
          </cell>
        </row>
        <row r="13">
          <cell r="B13">
            <v>8</v>
          </cell>
          <cell r="C13">
            <v>9</v>
          </cell>
        </row>
        <row r="14">
          <cell r="B14">
            <v>9</v>
          </cell>
          <cell r="C14">
            <v>10</v>
          </cell>
        </row>
        <row r="15">
          <cell r="B15">
            <v>10</v>
          </cell>
          <cell r="C15">
            <v>11</v>
          </cell>
        </row>
        <row r="16">
          <cell r="B16">
            <v>11</v>
          </cell>
          <cell r="C16">
            <v>12</v>
          </cell>
        </row>
        <row r="17">
          <cell r="B17">
            <v>12</v>
          </cell>
          <cell r="C17">
            <v>13</v>
          </cell>
        </row>
        <row r="18">
          <cell r="B18">
            <v>13</v>
          </cell>
          <cell r="C18">
            <v>14</v>
          </cell>
        </row>
        <row r="19">
          <cell r="B19">
            <v>14</v>
          </cell>
          <cell r="C19">
            <v>15</v>
          </cell>
        </row>
        <row r="20">
          <cell r="B20">
            <v>15</v>
          </cell>
          <cell r="C20">
            <v>16</v>
          </cell>
        </row>
        <row r="21">
          <cell r="B21">
            <v>16</v>
          </cell>
          <cell r="C21">
            <v>17</v>
          </cell>
        </row>
        <row r="22">
          <cell r="B22">
            <v>1</v>
          </cell>
          <cell r="C22">
            <v>18</v>
          </cell>
        </row>
        <row r="23">
          <cell r="B23">
            <v>18</v>
          </cell>
          <cell r="C23">
            <v>19</v>
          </cell>
        </row>
        <row r="24">
          <cell r="B24">
            <v>19</v>
          </cell>
          <cell r="C24">
            <v>20</v>
          </cell>
        </row>
        <row r="25">
          <cell r="B25">
            <v>20</v>
          </cell>
          <cell r="C25">
            <v>21</v>
          </cell>
        </row>
        <row r="26">
          <cell r="B26">
            <v>2</v>
          </cell>
          <cell r="C26">
            <v>22</v>
          </cell>
        </row>
        <row r="27">
          <cell r="B27">
            <v>22</v>
          </cell>
          <cell r="C27">
            <v>23</v>
          </cell>
        </row>
        <row r="28">
          <cell r="B28">
            <v>23</v>
          </cell>
          <cell r="C28">
            <v>24</v>
          </cell>
        </row>
        <row r="29">
          <cell r="B29">
            <v>5</v>
          </cell>
          <cell r="C29">
            <v>25</v>
          </cell>
        </row>
        <row r="30">
          <cell r="B30">
            <v>25</v>
          </cell>
          <cell r="C30">
            <v>26</v>
          </cell>
        </row>
        <row r="31">
          <cell r="B31">
            <v>26</v>
          </cell>
          <cell r="C31">
            <v>27</v>
          </cell>
        </row>
        <row r="32">
          <cell r="B32">
            <v>27</v>
          </cell>
          <cell r="C32">
            <v>28</v>
          </cell>
        </row>
        <row r="33">
          <cell r="B33">
            <v>28</v>
          </cell>
          <cell r="C33">
            <v>29</v>
          </cell>
        </row>
        <row r="34">
          <cell r="B34">
            <v>29</v>
          </cell>
          <cell r="C34">
            <v>30</v>
          </cell>
        </row>
        <row r="35">
          <cell r="B35">
            <v>30</v>
          </cell>
          <cell r="C35">
            <v>31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EE07-4EA0-4076-A6A7-D4E685942069}">
  <dimension ref="A1:AE38"/>
  <sheetViews>
    <sheetView tabSelected="1" zoomScale="72" zoomScaleNormal="100" workbookViewId="0">
      <selection activeCell="U1" sqref="U1"/>
    </sheetView>
  </sheetViews>
  <sheetFormatPr defaultRowHeight="14.4"/>
  <cols>
    <col min="22" max="22" width="26.44140625" customWidth="1"/>
    <col min="25" max="29" width="9" customWidth="1"/>
  </cols>
  <sheetData>
    <row r="1" spans="1:31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25</v>
      </c>
      <c r="R1" t="s">
        <v>26</v>
      </c>
      <c r="S1" t="s">
        <v>30</v>
      </c>
      <c r="T1" t="s">
        <v>28</v>
      </c>
      <c r="U1" t="s">
        <v>27</v>
      </c>
      <c r="V1" t="s">
        <v>29</v>
      </c>
      <c r="W1" t="s">
        <v>17</v>
      </c>
      <c r="X1" t="s">
        <v>16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</row>
    <row r="2" spans="1:31">
      <c r="A2" s="1">
        <v>1</v>
      </c>
      <c r="B2" s="1">
        <f>[1]Sheet1!B4+1</f>
        <v>1</v>
      </c>
      <c r="C2" s="1">
        <f>[1]Sheet1!C4+1</f>
        <v>1</v>
      </c>
      <c r="D2" s="5">
        <v>9.35E-2</v>
      </c>
      <c r="E2" s="5">
        <v>9.3299999999999994E-2</v>
      </c>
      <c r="F2" s="5">
        <v>9.3100000000000002E-2</v>
      </c>
      <c r="G2" s="5">
        <v>8.9999999999999998E-4</v>
      </c>
      <c r="H2" s="5">
        <v>1.2999999999999999E-3</v>
      </c>
      <c r="I2" s="5">
        <v>1.1000000000000001E-3</v>
      </c>
      <c r="J2" s="5">
        <v>4.7699999999999999E-2</v>
      </c>
      <c r="K2" s="5">
        <v>4.7500000000000001E-2</v>
      </c>
      <c r="L2" s="5">
        <v>4.7399999999999998E-2</v>
      </c>
      <c r="M2" s="5">
        <v>4.0000000000000002E-4</v>
      </c>
      <c r="N2" s="5">
        <v>6.9999999999999999E-4</v>
      </c>
      <c r="O2" s="5">
        <v>5.0000000000000001E-4</v>
      </c>
      <c r="P2" s="5">
        <f t="shared" ref="P2:P33" si="0">Z2*1.2</f>
        <v>38.4</v>
      </c>
      <c r="Q2" s="5">
        <f t="shared" ref="Q2:Q33" si="1">AA2*1.2</f>
        <v>39.6</v>
      </c>
      <c r="R2" s="5">
        <f t="shared" ref="R2:R33" si="2">AB2*1.2</f>
        <v>42</v>
      </c>
      <c r="S2" s="5">
        <f t="shared" ref="S2:S33" si="3">AC2*1.2</f>
        <v>22.8</v>
      </c>
      <c r="T2" s="5">
        <f t="shared" ref="T2:T33" si="4">AD2*1.2</f>
        <v>24</v>
      </c>
      <c r="U2" s="5">
        <f t="shared" ref="U2:U33" si="5">AE2*1.2</f>
        <v>25.2</v>
      </c>
      <c r="V2" s="4">
        <f t="shared" ref="V2:V33" si="6">X2*1.1</f>
        <v>1.6866666666666632</v>
      </c>
      <c r="X2">
        <v>1.5333333333333301</v>
      </c>
      <c r="Y2" s="2"/>
      <c r="Z2" s="1">
        <v>32</v>
      </c>
      <c r="AA2" s="1">
        <v>33</v>
      </c>
      <c r="AB2" s="1">
        <v>35</v>
      </c>
      <c r="AC2" s="1">
        <v>19</v>
      </c>
      <c r="AD2" s="1">
        <v>20</v>
      </c>
      <c r="AE2" s="1">
        <v>21</v>
      </c>
    </row>
    <row r="3" spans="1:31">
      <c r="A3" s="1">
        <v>2</v>
      </c>
      <c r="B3" s="1">
        <f>[1]Sheet1!B5+1</f>
        <v>1</v>
      </c>
      <c r="C3" s="1">
        <f>[1]Sheet1!C5+1</f>
        <v>2</v>
      </c>
      <c r="D3" s="5">
        <v>0.50029999999999997</v>
      </c>
      <c r="E3" s="5">
        <v>0.49890000000000001</v>
      </c>
      <c r="F3" s="5">
        <v>0.49790000000000001</v>
      </c>
      <c r="G3" s="5">
        <v>4.8999999999999998E-3</v>
      </c>
      <c r="H3" s="5">
        <v>7.3000000000000001E-3</v>
      </c>
      <c r="I3" s="5">
        <v>5.8999999999999999E-3</v>
      </c>
      <c r="J3" s="5">
        <v>0.25480000000000003</v>
      </c>
      <c r="K3" s="5">
        <v>0.25409999999999999</v>
      </c>
      <c r="L3" s="5">
        <v>0.25359999999999999</v>
      </c>
      <c r="M3" s="5">
        <v>2.5000000000000001E-3</v>
      </c>
      <c r="N3" s="5">
        <v>3.7000000000000002E-3</v>
      </c>
      <c r="O3" s="5">
        <v>3.0000000000000001E-3</v>
      </c>
      <c r="P3" s="5">
        <f t="shared" si="0"/>
        <v>36</v>
      </c>
      <c r="Q3" s="5">
        <f t="shared" si="1"/>
        <v>37.199999999999996</v>
      </c>
      <c r="R3" s="5">
        <f t="shared" si="2"/>
        <v>34.799999999999997</v>
      </c>
      <c r="S3" s="5">
        <f t="shared" si="3"/>
        <v>15.6</v>
      </c>
      <c r="T3" s="5">
        <f t="shared" si="4"/>
        <v>18</v>
      </c>
      <c r="U3" s="5">
        <f t="shared" si="5"/>
        <v>15.6</v>
      </c>
      <c r="V3" s="4">
        <f t="shared" si="6"/>
        <v>1.5033333333333332</v>
      </c>
      <c r="X3">
        <v>1.3666666666666665</v>
      </c>
      <c r="Y3" s="2"/>
      <c r="Z3" s="1">
        <v>30</v>
      </c>
      <c r="AA3" s="1">
        <v>31</v>
      </c>
      <c r="AB3" s="1">
        <v>29</v>
      </c>
      <c r="AC3" s="1">
        <v>13</v>
      </c>
      <c r="AD3" s="1">
        <v>15</v>
      </c>
      <c r="AE3" s="1">
        <v>13</v>
      </c>
    </row>
    <row r="4" spans="1:31">
      <c r="A4" s="1">
        <v>3</v>
      </c>
      <c r="B4" s="1">
        <f>[1]Sheet1!B6+1</f>
        <v>2</v>
      </c>
      <c r="C4" s="1">
        <f>[1]Sheet1!C6+1</f>
        <v>3</v>
      </c>
      <c r="D4" s="5">
        <v>0.37140000000000001</v>
      </c>
      <c r="E4" s="5">
        <v>0.37040000000000001</v>
      </c>
      <c r="F4" s="5">
        <v>0.36959999999999998</v>
      </c>
      <c r="G4" s="5">
        <v>3.5999999999999999E-3</v>
      </c>
      <c r="H4" s="5">
        <v>5.4000000000000003E-3</v>
      </c>
      <c r="I4" s="5">
        <v>4.3E-3</v>
      </c>
      <c r="J4" s="5">
        <v>0.18909999999999999</v>
      </c>
      <c r="K4" s="5">
        <v>0.18859999999999999</v>
      </c>
      <c r="L4" s="5">
        <v>0.18820000000000001</v>
      </c>
      <c r="M4" s="5">
        <v>1.8E-3</v>
      </c>
      <c r="N4" s="5">
        <v>2.7000000000000001E-3</v>
      </c>
      <c r="O4" s="5">
        <v>2.2000000000000001E-3</v>
      </c>
      <c r="P4" s="5">
        <f t="shared" si="0"/>
        <v>54</v>
      </c>
      <c r="Q4" s="5">
        <f t="shared" si="1"/>
        <v>0</v>
      </c>
      <c r="R4" s="5">
        <f t="shared" si="2"/>
        <v>42</v>
      </c>
      <c r="S4" s="5">
        <f t="shared" si="3"/>
        <v>36</v>
      </c>
      <c r="T4" s="5">
        <f t="shared" si="4"/>
        <v>0</v>
      </c>
      <c r="U4" s="5">
        <f t="shared" si="5"/>
        <v>28.799999999999997</v>
      </c>
      <c r="V4" s="4">
        <f t="shared" si="6"/>
        <v>1.0633333333333335</v>
      </c>
      <c r="X4">
        <v>0.96666666666666667</v>
      </c>
      <c r="Y4" s="2"/>
      <c r="Z4" s="1">
        <v>45</v>
      </c>
      <c r="AA4" s="1">
        <v>0</v>
      </c>
      <c r="AB4" s="1">
        <v>35</v>
      </c>
      <c r="AC4" s="1">
        <v>30</v>
      </c>
      <c r="AD4" s="1">
        <v>0</v>
      </c>
      <c r="AE4" s="1">
        <v>24</v>
      </c>
    </row>
    <row r="5" spans="1:31">
      <c r="A5" s="1">
        <v>4</v>
      </c>
      <c r="B5" s="1">
        <f>[1]Sheet1!B7+1</f>
        <v>3</v>
      </c>
      <c r="C5" s="1">
        <f>[1]Sheet1!C7+1</f>
        <v>4</v>
      </c>
      <c r="D5" s="5">
        <v>0.38679999999999998</v>
      </c>
      <c r="E5" s="5">
        <v>0.3856</v>
      </c>
      <c r="F5" s="5">
        <v>0.38490000000000002</v>
      </c>
      <c r="G5" s="5">
        <v>3.8E-3</v>
      </c>
      <c r="H5" s="5">
        <v>5.7000000000000002E-3</v>
      </c>
      <c r="I5" s="5">
        <v>4.4999999999999997E-3</v>
      </c>
      <c r="J5" s="5">
        <v>0.19700000000000001</v>
      </c>
      <c r="K5" s="5">
        <v>0.19639999999999999</v>
      </c>
      <c r="L5" s="5">
        <v>0.19600000000000001</v>
      </c>
      <c r="M5" s="5">
        <v>1.9E-3</v>
      </c>
      <c r="N5" s="5">
        <v>2.8999999999999998E-3</v>
      </c>
      <c r="O5" s="5">
        <v>2.3E-3</v>
      </c>
      <c r="P5" s="5">
        <f t="shared" si="0"/>
        <v>24</v>
      </c>
      <c r="Q5" s="5">
        <f t="shared" si="1"/>
        <v>24</v>
      </c>
      <c r="R5" s="5">
        <f t="shared" si="2"/>
        <v>24</v>
      </c>
      <c r="S5" s="5">
        <f t="shared" si="3"/>
        <v>12</v>
      </c>
      <c r="T5" s="5">
        <f t="shared" si="4"/>
        <v>12</v>
      </c>
      <c r="U5" s="5">
        <f t="shared" si="5"/>
        <v>12</v>
      </c>
      <c r="V5" s="4">
        <f t="shared" si="6"/>
        <v>1.0633333333333335</v>
      </c>
      <c r="X5">
        <v>0.96666666666666667</v>
      </c>
      <c r="Y5" s="2"/>
      <c r="Z5" s="1">
        <v>20</v>
      </c>
      <c r="AA5" s="1">
        <v>20</v>
      </c>
      <c r="AB5" s="1">
        <v>20</v>
      </c>
      <c r="AC5" s="1">
        <v>10</v>
      </c>
      <c r="AD5" s="1">
        <v>10</v>
      </c>
      <c r="AE5" s="1">
        <v>10</v>
      </c>
    </row>
    <row r="6" spans="1:31">
      <c r="A6" s="1">
        <v>5</v>
      </c>
      <c r="B6" s="1">
        <f>[1]Sheet1!B8+1</f>
        <v>4</v>
      </c>
      <c r="C6" s="1">
        <f>[1]Sheet1!C8+1</f>
        <v>5</v>
      </c>
      <c r="D6" s="5">
        <v>0.83120000000000005</v>
      </c>
      <c r="E6" s="5">
        <v>0.82879999999999998</v>
      </c>
      <c r="F6" s="5">
        <v>0.82709999999999995</v>
      </c>
      <c r="G6" s="5">
        <v>8.0999999999999996E-3</v>
      </c>
      <c r="H6" s="5">
        <v>1.2200000000000001E-2</v>
      </c>
      <c r="I6" s="5">
        <v>9.7999999999999997E-3</v>
      </c>
      <c r="J6" s="5">
        <v>0.71760000000000002</v>
      </c>
      <c r="K6" s="5">
        <v>0.71540000000000004</v>
      </c>
      <c r="L6" s="5">
        <v>0.71399999999999997</v>
      </c>
      <c r="M6" s="5">
        <v>7.0000000000000001E-3</v>
      </c>
      <c r="N6" s="5">
        <v>1.06E-2</v>
      </c>
      <c r="O6" s="5">
        <v>8.3999999999999995E-3</v>
      </c>
      <c r="P6" s="5">
        <f t="shared" si="0"/>
        <v>24</v>
      </c>
      <c r="Q6" s="5">
        <f t="shared" si="1"/>
        <v>24</v>
      </c>
      <c r="R6" s="5">
        <f t="shared" si="2"/>
        <v>24</v>
      </c>
      <c r="S6" s="5">
        <f t="shared" si="3"/>
        <v>7.1999999999999993</v>
      </c>
      <c r="T6" s="5">
        <f t="shared" si="4"/>
        <v>8.4</v>
      </c>
      <c r="U6" s="5">
        <f t="shared" si="5"/>
        <v>8.4</v>
      </c>
      <c r="V6" s="4">
        <f t="shared" si="6"/>
        <v>1.0633333333333335</v>
      </c>
      <c r="X6">
        <v>0.96666666666666667</v>
      </c>
      <c r="Y6" s="2"/>
      <c r="Z6" s="1">
        <v>20</v>
      </c>
      <c r="AA6" s="1">
        <v>20</v>
      </c>
      <c r="AB6" s="1">
        <v>20</v>
      </c>
      <c r="AC6" s="1">
        <v>6</v>
      </c>
      <c r="AD6" s="1">
        <v>7</v>
      </c>
      <c r="AE6" s="1">
        <v>7</v>
      </c>
    </row>
    <row r="7" spans="1:31">
      <c r="A7" s="1">
        <v>6</v>
      </c>
      <c r="B7" s="1">
        <f>[1]Sheet1!B9+1</f>
        <v>5</v>
      </c>
      <c r="C7" s="1">
        <f>[1]Sheet1!C9+1</f>
        <v>6</v>
      </c>
      <c r="D7" s="5">
        <v>0.19</v>
      </c>
      <c r="E7" s="5">
        <v>0.18940000000000001</v>
      </c>
      <c r="F7" s="5">
        <v>0.189</v>
      </c>
      <c r="G7" s="5">
        <v>1.8E-3</v>
      </c>
      <c r="H7" s="5">
        <v>2.8E-3</v>
      </c>
      <c r="I7" s="5">
        <v>2.2000000000000001E-3</v>
      </c>
      <c r="J7" s="5">
        <v>0.628</v>
      </c>
      <c r="K7" s="5">
        <v>0.62619999999999998</v>
      </c>
      <c r="L7" s="5">
        <v>0.62490000000000001</v>
      </c>
      <c r="M7" s="5">
        <v>6.1000000000000004E-3</v>
      </c>
      <c r="N7" s="5">
        <v>9.1999999999999998E-3</v>
      </c>
      <c r="O7" s="5">
        <v>7.4000000000000003E-3</v>
      </c>
      <c r="P7" s="5">
        <f t="shared" si="0"/>
        <v>78</v>
      </c>
      <c r="Q7" s="5">
        <f t="shared" si="1"/>
        <v>84</v>
      </c>
      <c r="R7" s="5">
        <f t="shared" si="2"/>
        <v>78</v>
      </c>
      <c r="S7" s="5">
        <f t="shared" si="3"/>
        <v>39.6</v>
      </c>
      <c r="T7" s="5">
        <f t="shared" si="4"/>
        <v>40.799999999999997</v>
      </c>
      <c r="U7" s="5">
        <f t="shared" si="5"/>
        <v>39.6</v>
      </c>
      <c r="V7" s="4">
        <f t="shared" si="6"/>
        <v>0.55000000000000004</v>
      </c>
      <c r="X7">
        <v>0.5</v>
      </c>
      <c r="Y7" s="2"/>
      <c r="Z7" s="1">
        <v>65</v>
      </c>
      <c r="AA7" s="1">
        <v>70</v>
      </c>
      <c r="AB7" s="1">
        <v>65</v>
      </c>
      <c r="AC7" s="1">
        <v>33</v>
      </c>
      <c r="AD7" s="1">
        <v>34</v>
      </c>
      <c r="AE7" s="1">
        <v>33</v>
      </c>
    </row>
    <row r="8" spans="1:31">
      <c r="A8" s="1">
        <v>7</v>
      </c>
      <c r="B8" s="1">
        <f>[1]Sheet1!B10+1</f>
        <v>6</v>
      </c>
      <c r="C8" s="1">
        <f>[1]Sheet1!C10+1</f>
        <v>7</v>
      </c>
      <c r="D8" s="5">
        <v>0.72199999999999998</v>
      </c>
      <c r="E8" s="5">
        <v>0.71989999999999998</v>
      </c>
      <c r="F8" s="5">
        <v>0.71850000000000003</v>
      </c>
      <c r="G8" s="5">
        <v>7.1000000000000004E-3</v>
      </c>
      <c r="H8" s="5">
        <v>1.06E-2</v>
      </c>
      <c r="I8" s="5">
        <v>8.5000000000000006E-3</v>
      </c>
      <c r="J8" s="5">
        <v>0.23860000000000001</v>
      </c>
      <c r="K8" s="5">
        <v>0.2379</v>
      </c>
      <c r="L8" s="5">
        <v>0.2374</v>
      </c>
      <c r="M8" s="5">
        <v>2.3E-3</v>
      </c>
      <c r="N8" s="5">
        <v>3.5000000000000001E-3</v>
      </c>
      <c r="O8" s="5">
        <v>2.8E-3</v>
      </c>
      <c r="P8" s="5">
        <f t="shared" si="0"/>
        <v>84</v>
      </c>
      <c r="Q8" s="5">
        <f t="shared" si="1"/>
        <v>78</v>
      </c>
      <c r="R8" s="5">
        <f t="shared" si="2"/>
        <v>78</v>
      </c>
      <c r="S8" s="5">
        <f t="shared" si="3"/>
        <v>40.799999999999997</v>
      </c>
      <c r="T8" s="5">
        <f t="shared" si="4"/>
        <v>39.6</v>
      </c>
      <c r="U8" s="5">
        <f t="shared" si="5"/>
        <v>39.6</v>
      </c>
      <c r="V8" s="4">
        <f t="shared" si="6"/>
        <v>0.38500000000000006</v>
      </c>
      <c r="X8">
        <v>0.35000000000000003</v>
      </c>
      <c r="Y8" s="2"/>
      <c r="Z8" s="1">
        <v>70</v>
      </c>
      <c r="AA8" s="1">
        <v>65</v>
      </c>
      <c r="AB8" s="1">
        <v>65</v>
      </c>
      <c r="AC8" s="1">
        <v>34</v>
      </c>
      <c r="AD8" s="1">
        <v>33</v>
      </c>
      <c r="AE8" s="1">
        <v>33</v>
      </c>
    </row>
    <row r="9" spans="1:31">
      <c r="A9" s="1">
        <v>8</v>
      </c>
      <c r="B9" s="1">
        <f>[1]Sheet1!B11+1</f>
        <v>7</v>
      </c>
      <c r="C9" s="1">
        <f>[1]Sheet1!C11+1</f>
        <v>8</v>
      </c>
      <c r="D9" s="5">
        <v>1.0454000000000001</v>
      </c>
      <c r="E9" s="5">
        <v>1.0423</v>
      </c>
      <c r="F9" s="5">
        <v>1.0403</v>
      </c>
      <c r="G9" s="5">
        <v>1.03E-2</v>
      </c>
      <c r="H9" s="5">
        <v>1.54E-2</v>
      </c>
      <c r="I9" s="5">
        <v>1.23E-2</v>
      </c>
      <c r="J9" s="5">
        <v>0.751</v>
      </c>
      <c r="K9" s="5">
        <v>0.74880000000000002</v>
      </c>
      <c r="L9" s="5">
        <v>0.74729999999999996</v>
      </c>
      <c r="M9" s="5">
        <v>7.4000000000000003E-3</v>
      </c>
      <c r="N9" s="5">
        <v>1.0999999999999999E-2</v>
      </c>
      <c r="O9" s="5">
        <v>8.8000000000000005E-3</v>
      </c>
      <c r="P9" s="5">
        <f t="shared" si="0"/>
        <v>24</v>
      </c>
      <c r="Q9" s="5">
        <f t="shared" si="1"/>
        <v>21.599999999999998</v>
      </c>
      <c r="R9" s="5">
        <f t="shared" si="2"/>
        <v>26.4</v>
      </c>
      <c r="S9" s="5">
        <f t="shared" si="3"/>
        <v>8.4</v>
      </c>
      <c r="T9" s="5">
        <f t="shared" si="4"/>
        <v>7.1999999999999993</v>
      </c>
      <c r="U9" s="5">
        <f t="shared" si="5"/>
        <v>8.4</v>
      </c>
      <c r="V9" s="4">
        <f t="shared" si="6"/>
        <v>0.38500000000000006</v>
      </c>
      <c r="X9">
        <v>0.35000000000000003</v>
      </c>
      <c r="Y9" s="2"/>
      <c r="Z9" s="1">
        <v>20</v>
      </c>
      <c r="AA9" s="1">
        <v>18</v>
      </c>
      <c r="AB9" s="1">
        <v>22</v>
      </c>
      <c r="AC9" s="1">
        <v>7</v>
      </c>
      <c r="AD9" s="1">
        <v>6</v>
      </c>
      <c r="AE9" s="1">
        <v>7</v>
      </c>
    </row>
    <row r="10" spans="1:31">
      <c r="A10" s="1">
        <v>9</v>
      </c>
      <c r="B10" s="1">
        <f>[1]Sheet1!B12+1</f>
        <v>8</v>
      </c>
      <c r="C10" s="1">
        <f>[1]Sheet1!C12+1</f>
        <v>9</v>
      </c>
      <c r="D10" s="5">
        <v>1.0596000000000001</v>
      </c>
      <c r="E10" s="5">
        <v>1.0565</v>
      </c>
      <c r="F10" s="5">
        <v>1.0544</v>
      </c>
      <c r="G10" s="5">
        <v>1.04E-2</v>
      </c>
      <c r="H10" s="5">
        <v>1.5599999999999999E-2</v>
      </c>
      <c r="I10" s="5">
        <v>1.2500000000000001E-2</v>
      </c>
      <c r="J10" s="5">
        <v>0.751</v>
      </c>
      <c r="K10" s="5">
        <v>0.74880000000000002</v>
      </c>
      <c r="L10" s="5">
        <v>0.74729999999999996</v>
      </c>
      <c r="M10" s="5">
        <v>7.4000000000000003E-3</v>
      </c>
      <c r="N10" s="5">
        <v>1.0999999999999999E-2</v>
      </c>
      <c r="O10" s="5">
        <v>8.8000000000000005E-3</v>
      </c>
      <c r="P10" s="5">
        <f t="shared" si="0"/>
        <v>25.2</v>
      </c>
      <c r="Q10" s="5">
        <f t="shared" si="1"/>
        <v>24</v>
      </c>
      <c r="R10" s="5">
        <f t="shared" si="2"/>
        <v>0</v>
      </c>
      <c r="S10" s="5">
        <f t="shared" si="3"/>
        <v>8.4</v>
      </c>
      <c r="T10" s="5">
        <f t="shared" si="4"/>
        <v>8.4</v>
      </c>
      <c r="U10" s="5">
        <f t="shared" si="5"/>
        <v>0</v>
      </c>
      <c r="V10" s="4">
        <f t="shared" si="6"/>
        <v>0.38500000000000006</v>
      </c>
      <c r="X10">
        <v>0.35000000000000003</v>
      </c>
      <c r="Y10" s="2"/>
      <c r="Z10" s="1">
        <v>21</v>
      </c>
      <c r="AA10" s="1">
        <v>20</v>
      </c>
      <c r="AB10" s="1">
        <v>0</v>
      </c>
      <c r="AC10" s="1">
        <v>7</v>
      </c>
      <c r="AD10" s="1">
        <v>7</v>
      </c>
      <c r="AE10" s="1">
        <v>0</v>
      </c>
    </row>
    <row r="11" spans="1:31">
      <c r="A11" s="1">
        <v>10</v>
      </c>
      <c r="B11" s="1">
        <f>[1]Sheet1!B13+1</f>
        <v>9</v>
      </c>
      <c r="C11" s="1">
        <f>[1]Sheet1!C13+1</f>
        <v>10</v>
      </c>
      <c r="D11" s="5">
        <v>0.19950000000000001</v>
      </c>
      <c r="E11" s="5">
        <v>0.19889999999999999</v>
      </c>
      <c r="F11" s="5">
        <v>0.19850000000000001</v>
      </c>
      <c r="G11" s="5">
        <v>1.9E-3</v>
      </c>
      <c r="H11" s="5">
        <v>2.8999999999999998E-3</v>
      </c>
      <c r="I11" s="5">
        <v>2.3E-3</v>
      </c>
      <c r="J11" s="5">
        <v>6.59E-2</v>
      </c>
      <c r="K11" s="5">
        <v>6.5699999999999995E-2</v>
      </c>
      <c r="L11" s="5">
        <v>6.5600000000000006E-2</v>
      </c>
      <c r="M11" s="5">
        <v>5.9999999999999995E-4</v>
      </c>
      <c r="N11" s="5">
        <v>8.9999999999999998E-4</v>
      </c>
      <c r="O11" s="5">
        <v>6.9999999999999999E-4</v>
      </c>
      <c r="P11" s="5">
        <f t="shared" si="0"/>
        <v>16.8</v>
      </c>
      <c r="Q11" s="5">
        <f t="shared" si="1"/>
        <v>19.2</v>
      </c>
      <c r="R11" s="5">
        <f t="shared" si="2"/>
        <v>18</v>
      </c>
      <c r="S11" s="5">
        <f t="shared" si="3"/>
        <v>10.799999999999999</v>
      </c>
      <c r="T11" s="5">
        <f t="shared" si="4"/>
        <v>13.2</v>
      </c>
      <c r="U11" s="5">
        <f t="shared" si="5"/>
        <v>12</v>
      </c>
      <c r="V11" s="4">
        <f t="shared" si="6"/>
        <v>0.38500000000000006</v>
      </c>
      <c r="X11">
        <v>0.35000000000000003</v>
      </c>
      <c r="Y11" s="2"/>
      <c r="Z11" s="1">
        <v>14</v>
      </c>
      <c r="AA11" s="1">
        <v>16</v>
      </c>
      <c r="AB11" s="1">
        <v>15</v>
      </c>
      <c r="AC11" s="1">
        <v>9</v>
      </c>
      <c r="AD11" s="1">
        <v>11</v>
      </c>
      <c r="AE11" s="1">
        <v>10</v>
      </c>
    </row>
    <row r="12" spans="1:31">
      <c r="A12" s="1">
        <v>11</v>
      </c>
      <c r="B12" s="1">
        <f>[1]Sheet1!B14+1</f>
        <v>10</v>
      </c>
      <c r="C12" s="1">
        <f>[1]Sheet1!C14+1</f>
        <v>11</v>
      </c>
      <c r="D12" s="5">
        <v>0.38</v>
      </c>
      <c r="E12" s="5">
        <v>0.37880000000000003</v>
      </c>
      <c r="F12" s="5">
        <v>0.37809999999999999</v>
      </c>
      <c r="G12" s="5">
        <v>3.7000000000000002E-3</v>
      </c>
      <c r="H12" s="5">
        <v>5.5999999999999999E-3</v>
      </c>
      <c r="I12" s="5">
        <v>4.4000000000000003E-3</v>
      </c>
      <c r="J12" s="5">
        <v>0.12559999999999999</v>
      </c>
      <c r="K12" s="5">
        <v>0.12520000000000001</v>
      </c>
      <c r="L12" s="5">
        <v>0.125</v>
      </c>
      <c r="M12" s="5">
        <v>1.1999999999999999E-3</v>
      </c>
      <c r="N12" s="5">
        <v>1.8E-3</v>
      </c>
      <c r="O12" s="5">
        <v>1.4E-3</v>
      </c>
      <c r="P12" s="5">
        <f t="shared" si="0"/>
        <v>24</v>
      </c>
      <c r="Q12" s="5">
        <f t="shared" si="1"/>
        <v>24</v>
      </c>
      <c r="R12" s="5">
        <f t="shared" si="2"/>
        <v>24</v>
      </c>
      <c r="S12" s="5">
        <f t="shared" si="3"/>
        <v>13.2</v>
      </c>
      <c r="T12" s="5">
        <f t="shared" si="4"/>
        <v>14.399999999999999</v>
      </c>
      <c r="U12" s="5">
        <f t="shared" si="5"/>
        <v>14.399999999999999</v>
      </c>
      <c r="V12" s="4">
        <f t="shared" si="6"/>
        <v>0.38500000000000006</v>
      </c>
      <c r="X12">
        <v>0.35000000000000003</v>
      </c>
      <c r="Y12" s="2"/>
      <c r="Z12" s="1">
        <v>20</v>
      </c>
      <c r="AA12" s="1">
        <v>20</v>
      </c>
      <c r="AB12" s="1">
        <v>20</v>
      </c>
      <c r="AC12" s="1">
        <v>11</v>
      </c>
      <c r="AD12" s="1">
        <v>12</v>
      </c>
      <c r="AE12" s="1">
        <v>12</v>
      </c>
    </row>
    <row r="13" spans="1:31">
      <c r="A13" s="1">
        <v>12</v>
      </c>
      <c r="B13" s="1">
        <f>[1]Sheet1!B15+1</f>
        <v>11</v>
      </c>
      <c r="C13" s="1">
        <f>[1]Sheet1!C15+1</f>
        <v>12</v>
      </c>
      <c r="D13" s="5">
        <v>1.49</v>
      </c>
      <c r="E13" s="5">
        <v>1.4856</v>
      </c>
      <c r="F13" s="5">
        <v>1.4825999999999999</v>
      </c>
      <c r="G13" s="5">
        <v>1.46E-2</v>
      </c>
      <c r="H13" s="5">
        <v>2.1999999999999999E-2</v>
      </c>
      <c r="I13" s="5">
        <v>1.7600000000000001E-2</v>
      </c>
      <c r="J13" s="5">
        <v>1.1722999999999999</v>
      </c>
      <c r="K13" s="5">
        <v>1.1688000000000001</v>
      </c>
      <c r="L13" s="5">
        <v>1.1665000000000001</v>
      </c>
      <c r="M13" s="5">
        <v>1.15E-2</v>
      </c>
      <c r="N13" s="5">
        <v>1.7299999999999999E-2</v>
      </c>
      <c r="O13" s="5">
        <v>1.38E-2</v>
      </c>
      <c r="P13" s="5">
        <f t="shared" si="0"/>
        <v>25.2</v>
      </c>
      <c r="Q13" s="5">
        <f t="shared" si="1"/>
        <v>22.8</v>
      </c>
      <c r="R13" s="5">
        <f t="shared" si="2"/>
        <v>24</v>
      </c>
      <c r="S13" s="5">
        <f t="shared" si="3"/>
        <v>14.399999999999999</v>
      </c>
      <c r="T13" s="5">
        <f t="shared" si="4"/>
        <v>13.2</v>
      </c>
      <c r="U13" s="5">
        <f t="shared" si="5"/>
        <v>14.399999999999999</v>
      </c>
      <c r="V13" s="4">
        <f t="shared" si="6"/>
        <v>0.18333333333333335</v>
      </c>
      <c r="X13">
        <v>0.16666666666666666</v>
      </c>
      <c r="Y13" s="2"/>
      <c r="Z13" s="1">
        <v>21</v>
      </c>
      <c r="AA13" s="1">
        <v>19</v>
      </c>
      <c r="AB13" s="1">
        <v>20</v>
      </c>
      <c r="AC13" s="1">
        <v>12</v>
      </c>
      <c r="AD13" s="1">
        <v>11</v>
      </c>
      <c r="AE13" s="1">
        <v>12</v>
      </c>
    </row>
    <row r="14" spans="1:31">
      <c r="A14" s="1">
        <v>13</v>
      </c>
      <c r="B14" s="1">
        <f>[1]Sheet1!B16+1</f>
        <v>12</v>
      </c>
      <c r="C14" s="1">
        <f>[1]Sheet1!C16+1</f>
        <v>13</v>
      </c>
      <c r="D14" s="5">
        <v>0.54969999999999997</v>
      </c>
      <c r="E14" s="5">
        <v>0.54800000000000004</v>
      </c>
      <c r="F14" s="5">
        <v>0.54700000000000004</v>
      </c>
      <c r="G14" s="5">
        <v>5.4000000000000003E-3</v>
      </c>
      <c r="H14" s="5">
        <v>8.0999999999999996E-3</v>
      </c>
      <c r="I14" s="5">
        <v>6.4000000000000003E-3</v>
      </c>
      <c r="J14" s="5">
        <v>0.72350000000000003</v>
      </c>
      <c r="K14" s="5">
        <v>0.72140000000000004</v>
      </c>
      <c r="L14" s="5">
        <v>0.72</v>
      </c>
      <c r="M14" s="5">
        <v>7.1000000000000004E-3</v>
      </c>
      <c r="N14" s="5">
        <v>1.06E-2</v>
      </c>
      <c r="O14" s="5">
        <v>8.5000000000000006E-3</v>
      </c>
      <c r="P14" s="5">
        <f t="shared" si="0"/>
        <v>48</v>
      </c>
      <c r="Q14" s="5">
        <f t="shared" si="1"/>
        <v>45.6</v>
      </c>
      <c r="R14" s="5">
        <f t="shared" si="2"/>
        <v>50.4</v>
      </c>
      <c r="S14" s="5">
        <f t="shared" si="3"/>
        <v>33.6</v>
      </c>
      <c r="T14" s="5">
        <f t="shared" si="4"/>
        <v>32.4</v>
      </c>
      <c r="U14" s="5">
        <f t="shared" si="5"/>
        <v>30</v>
      </c>
      <c r="V14" s="4">
        <f t="shared" si="6"/>
        <v>0.16500000000000001</v>
      </c>
      <c r="X14">
        <v>0.15</v>
      </c>
      <c r="Y14" s="2"/>
      <c r="Z14" s="1">
        <v>40</v>
      </c>
      <c r="AA14" s="1">
        <v>38</v>
      </c>
      <c r="AB14" s="1">
        <v>42</v>
      </c>
      <c r="AC14" s="1">
        <v>28</v>
      </c>
      <c r="AD14" s="1">
        <v>27</v>
      </c>
      <c r="AE14" s="1">
        <v>25</v>
      </c>
    </row>
    <row r="15" spans="1:31">
      <c r="A15" s="1">
        <v>14</v>
      </c>
      <c r="B15" s="1">
        <f>[1]Sheet1!B17+1</f>
        <v>13</v>
      </c>
      <c r="C15" s="1">
        <f>[1]Sheet1!C17+1</f>
        <v>14</v>
      </c>
      <c r="D15" s="5">
        <v>0.5998</v>
      </c>
      <c r="E15" s="5">
        <v>0.59799999999999998</v>
      </c>
      <c r="F15" s="5">
        <v>0.59689999999999999</v>
      </c>
      <c r="G15" s="5">
        <v>5.8999999999999999E-3</v>
      </c>
      <c r="H15" s="5">
        <v>8.8000000000000005E-3</v>
      </c>
      <c r="I15" s="5">
        <v>7.0000000000000001E-3</v>
      </c>
      <c r="J15" s="5">
        <v>0.53380000000000005</v>
      </c>
      <c r="K15" s="5">
        <v>0.5323</v>
      </c>
      <c r="L15" s="5">
        <v>0.53120000000000001</v>
      </c>
      <c r="M15" s="5">
        <v>5.1999999999999998E-3</v>
      </c>
      <c r="N15" s="5">
        <v>7.7999999999999996E-3</v>
      </c>
      <c r="O15" s="5">
        <v>6.3E-3</v>
      </c>
      <c r="P15" s="5">
        <f t="shared" si="0"/>
        <v>0</v>
      </c>
      <c r="Q15" s="5">
        <f t="shared" si="1"/>
        <v>22.8</v>
      </c>
      <c r="R15" s="5">
        <f t="shared" si="2"/>
        <v>24</v>
      </c>
      <c r="S15" s="5">
        <f t="shared" si="3"/>
        <v>0</v>
      </c>
      <c r="T15" s="5">
        <f t="shared" si="4"/>
        <v>3.5999999999999996</v>
      </c>
      <c r="U15" s="5">
        <f t="shared" si="5"/>
        <v>3.5999999999999996</v>
      </c>
      <c r="V15" s="4">
        <f t="shared" si="6"/>
        <v>0.11</v>
      </c>
      <c r="X15">
        <v>9.9999999999999992E-2</v>
      </c>
      <c r="Y15" s="2"/>
      <c r="Z15" s="1">
        <v>0</v>
      </c>
      <c r="AA15" s="1">
        <v>19</v>
      </c>
      <c r="AB15" s="1">
        <v>20</v>
      </c>
      <c r="AC15" s="1">
        <v>0</v>
      </c>
      <c r="AD15" s="1">
        <v>3</v>
      </c>
      <c r="AE15" s="1">
        <v>3</v>
      </c>
    </row>
    <row r="16" spans="1:31">
      <c r="A16" s="1">
        <v>15</v>
      </c>
      <c r="B16" s="1">
        <f>[1]Sheet1!B18+1</f>
        <v>14</v>
      </c>
      <c r="C16" s="1">
        <f>[1]Sheet1!C18+1</f>
        <v>15</v>
      </c>
      <c r="D16" s="5">
        <v>0.75139999999999996</v>
      </c>
      <c r="E16" s="5">
        <v>0.74909999999999999</v>
      </c>
      <c r="F16" s="5">
        <v>0.74770000000000003</v>
      </c>
      <c r="G16" s="5">
        <v>7.4000000000000003E-3</v>
      </c>
      <c r="H16" s="5">
        <v>1.11E-2</v>
      </c>
      <c r="I16" s="5">
        <v>8.8000000000000005E-3</v>
      </c>
      <c r="J16" s="5">
        <v>0.55310000000000004</v>
      </c>
      <c r="K16" s="5">
        <v>0.55149999999999999</v>
      </c>
      <c r="L16" s="5">
        <v>0.5504</v>
      </c>
      <c r="M16" s="5">
        <v>5.4000000000000003E-3</v>
      </c>
      <c r="N16" s="5">
        <v>8.0999999999999996E-3</v>
      </c>
      <c r="O16" s="5">
        <v>6.4999999999999997E-3</v>
      </c>
      <c r="P16" s="5">
        <f t="shared" si="0"/>
        <v>22.8</v>
      </c>
      <c r="Q16" s="5">
        <f t="shared" si="1"/>
        <v>24</v>
      </c>
      <c r="R16" s="5">
        <f t="shared" si="2"/>
        <v>25.2</v>
      </c>
      <c r="S16" s="5">
        <f t="shared" si="3"/>
        <v>7.1999999999999993</v>
      </c>
      <c r="T16" s="5">
        <f t="shared" si="4"/>
        <v>8.4</v>
      </c>
      <c r="U16" s="5">
        <f t="shared" si="5"/>
        <v>8.4</v>
      </c>
      <c r="V16" s="4">
        <f t="shared" si="6"/>
        <v>9.1666666666666674E-2</v>
      </c>
      <c r="X16">
        <v>8.3333333333333329E-2</v>
      </c>
      <c r="Y16" s="2"/>
      <c r="Z16" s="1">
        <v>19</v>
      </c>
      <c r="AA16" s="1">
        <v>20</v>
      </c>
      <c r="AB16" s="1">
        <v>21</v>
      </c>
      <c r="AC16" s="1">
        <v>6</v>
      </c>
      <c r="AD16" s="1">
        <v>7</v>
      </c>
      <c r="AE16" s="1">
        <v>7</v>
      </c>
    </row>
    <row r="17" spans="1:31">
      <c r="A17" s="1">
        <v>16</v>
      </c>
      <c r="B17" s="1">
        <f>[1]Sheet1!B19+1</f>
        <v>15</v>
      </c>
      <c r="C17" s="1">
        <f>[1]Sheet1!C19+1</f>
        <v>16</v>
      </c>
      <c r="D17" s="5">
        <v>1.3083</v>
      </c>
      <c r="E17" s="5">
        <v>1.3044</v>
      </c>
      <c r="F17" s="5">
        <v>1.3018000000000001</v>
      </c>
      <c r="G17" s="5">
        <v>1.2800000000000001E-2</v>
      </c>
      <c r="H17" s="5">
        <v>1.9300000000000001E-2</v>
      </c>
      <c r="I17" s="5">
        <v>1.54E-2</v>
      </c>
      <c r="J17" s="5">
        <v>1.7467999999999999</v>
      </c>
      <c r="K17" s="5">
        <v>1.7416</v>
      </c>
      <c r="L17" s="5">
        <v>1.7382</v>
      </c>
      <c r="M17" s="5">
        <v>1.72E-2</v>
      </c>
      <c r="N17" s="5">
        <v>2.58E-2</v>
      </c>
      <c r="O17" s="5">
        <v>2.06E-2</v>
      </c>
      <c r="P17" s="5">
        <f t="shared" si="0"/>
        <v>22.8</v>
      </c>
      <c r="Q17" s="5">
        <f t="shared" si="1"/>
        <v>25.2</v>
      </c>
      <c r="R17" s="5">
        <f t="shared" si="2"/>
        <v>24</v>
      </c>
      <c r="S17" s="5">
        <f t="shared" si="3"/>
        <v>7.1999999999999993</v>
      </c>
      <c r="T17" s="5">
        <f t="shared" si="4"/>
        <v>8.4</v>
      </c>
      <c r="U17" s="5">
        <f t="shared" si="5"/>
        <v>8.4</v>
      </c>
      <c r="V17" s="4">
        <f t="shared" si="6"/>
        <v>9.1666666666666674E-2</v>
      </c>
      <c r="X17">
        <v>8.3333333333333329E-2</v>
      </c>
      <c r="Y17" s="2"/>
      <c r="Z17" s="1">
        <v>19</v>
      </c>
      <c r="AA17" s="1">
        <v>21</v>
      </c>
      <c r="AB17" s="1">
        <v>20</v>
      </c>
      <c r="AC17" s="1">
        <v>6</v>
      </c>
      <c r="AD17" s="1">
        <v>7</v>
      </c>
      <c r="AE17" s="1">
        <v>7</v>
      </c>
    </row>
    <row r="18" spans="1:31">
      <c r="A18" s="1">
        <v>17</v>
      </c>
      <c r="B18" s="1">
        <f>[1]Sheet1!B20+1</f>
        <v>16</v>
      </c>
      <c r="C18" s="1">
        <f>[1]Sheet1!C20+1</f>
        <v>17</v>
      </c>
      <c r="D18" s="5">
        <v>0.7429</v>
      </c>
      <c r="E18" s="5">
        <v>0.74070000000000003</v>
      </c>
      <c r="F18" s="5">
        <v>0.73929999999999996</v>
      </c>
      <c r="G18" s="5">
        <v>7.3000000000000001E-3</v>
      </c>
      <c r="H18" s="5">
        <v>1.09E-2</v>
      </c>
      <c r="I18" s="5">
        <v>8.6999999999999994E-3</v>
      </c>
      <c r="J18" s="5">
        <v>0.58260000000000001</v>
      </c>
      <c r="K18" s="5">
        <v>0.58079999999999998</v>
      </c>
      <c r="L18" s="5">
        <v>0.57969999999999999</v>
      </c>
      <c r="M18" s="5">
        <v>5.7000000000000002E-3</v>
      </c>
      <c r="N18" s="5">
        <v>8.6E-3</v>
      </c>
      <c r="O18" s="5">
        <v>6.7999999999999996E-3</v>
      </c>
      <c r="P18" s="5">
        <f t="shared" si="0"/>
        <v>36</v>
      </c>
      <c r="Q18" s="5">
        <f t="shared" si="1"/>
        <v>36</v>
      </c>
      <c r="R18" s="5">
        <f t="shared" si="2"/>
        <v>36</v>
      </c>
      <c r="S18" s="5">
        <f t="shared" si="3"/>
        <v>16.8</v>
      </c>
      <c r="T18" s="5">
        <f t="shared" si="4"/>
        <v>15.6</v>
      </c>
      <c r="U18" s="5">
        <f t="shared" si="5"/>
        <v>15.6</v>
      </c>
      <c r="V18" s="4">
        <f t="shared" si="6"/>
        <v>3.6666666666666667E-2</v>
      </c>
      <c r="X18">
        <v>3.3333333333333333E-2</v>
      </c>
      <c r="Y18" s="2"/>
      <c r="Z18" s="1">
        <v>30</v>
      </c>
      <c r="AA18" s="1">
        <v>30</v>
      </c>
      <c r="AB18" s="1">
        <v>30</v>
      </c>
      <c r="AC18" s="1">
        <v>14</v>
      </c>
      <c r="AD18" s="1">
        <v>13</v>
      </c>
      <c r="AE18" s="1">
        <v>13</v>
      </c>
    </row>
    <row r="19" spans="1:31">
      <c r="A19" s="1">
        <v>18</v>
      </c>
      <c r="B19" s="1">
        <f>[1]Sheet1!B21+1</f>
        <v>17</v>
      </c>
      <c r="C19" s="1">
        <f>[1]Sheet1!C21+1</f>
        <v>18</v>
      </c>
      <c r="D19" s="5">
        <v>0.16639999999999999</v>
      </c>
      <c r="E19" s="5">
        <v>0.16589999999999999</v>
      </c>
      <c r="F19" s="5">
        <v>0.1656</v>
      </c>
      <c r="G19" s="5">
        <v>1.6000000000000001E-3</v>
      </c>
      <c r="H19" s="5">
        <v>2.3999999999999998E-3</v>
      </c>
      <c r="I19" s="5">
        <v>1.9E-3</v>
      </c>
      <c r="J19" s="5">
        <v>0.1588</v>
      </c>
      <c r="K19" s="5">
        <v>0.1583</v>
      </c>
      <c r="L19" s="5">
        <v>0.158</v>
      </c>
      <c r="M19" s="5">
        <v>1.5E-3</v>
      </c>
      <c r="N19" s="5">
        <v>2.3E-3</v>
      </c>
      <c r="O19" s="5">
        <v>1.8E-3</v>
      </c>
      <c r="P19" s="5">
        <f t="shared" si="0"/>
        <v>39.6</v>
      </c>
      <c r="Q19" s="5">
        <f t="shared" si="1"/>
        <v>34.799999999999997</v>
      </c>
      <c r="R19" s="5">
        <f t="shared" si="2"/>
        <v>33.6</v>
      </c>
      <c r="S19" s="5">
        <f t="shared" si="3"/>
        <v>18</v>
      </c>
      <c r="T19" s="5">
        <f t="shared" si="4"/>
        <v>15.6</v>
      </c>
      <c r="U19" s="5">
        <f t="shared" si="5"/>
        <v>14.399999999999999</v>
      </c>
      <c r="V19" s="4">
        <f t="shared" si="6"/>
        <v>0.18333333333333335</v>
      </c>
      <c r="X19">
        <v>0.16666666666666666</v>
      </c>
      <c r="Y19" s="2"/>
      <c r="Z19" s="1">
        <v>33</v>
      </c>
      <c r="AA19" s="1">
        <v>29</v>
      </c>
      <c r="AB19" s="1">
        <v>28</v>
      </c>
      <c r="AC19" s="1">
        <v>15</v>
      </c>
      <c r="AD19" s="1">
        <v>13</v>
      </c>
      <c r="AE19" s="1">
        <v>12</v>
      </c>
    </row>
    <row r="20" spans="1:31">
      <c r="A20" s="1">
        <v>19</v>
      </c>
      <c r="B20" s="1">
        <f>[1]Sheet1!B22+1</f>
        <v>2</v>
      </c>
      <c r="C20" s="1">
        <f>[1]Sheet1!C22+1</f>
        <v>19</v>
      </c>
      <c r="D20" s="5">
        <v>1.5266999999999999</v>
      </c>
      <c r="E20" s="5">
        <v>1.5222</v>
      </c>
      <c r="F20" s="5">
        <v>1.5192000000000001</v>
      </c>
      <c r="G20" s="5">
        <v>1.4999999999999999E-2</v>
      </c>
      <c r="H20" s="5">
        <v>2.2499999999999999E-2</v>
      </c>
      <c r="I20" s="5">
        <v>1.7999999999999999E-2</v>
      </c>
      <c r="J20" s="5">
        <v>1.3756999999999999</v>
      </c>
      <c r="K20" s="5">
        <v>1.3715999999999999</v>
      </c>
      <c r="L20" s="5">
        <v>1.3689</v>
      </c>
      <c r="M20" s="5">
        <v>1.35E-2</v>
      </c>
      <c r="N20" s="5">
        <v>2.0299999999999999E-2</v>
      </c>
      <c r="O20" s="5">
        <v>1.6199999999999999E-2</v>
      </c>
      <c r="P20" s="5">
        <f t="shared" si="0"/>
        <v>34.799999999999997</v>
      </c>
      <c r="Q20" s="5">
        <f t="shared" si="1"/>
        <v>33.6</v>
      </c>
      <c r="R20" s="5">
        <f t="shared" si="2"/>
        <v>39.6</v>
      </c>
      <c r="S20" s="5">
        <f t="shared" si="3"/>
        <v>15.6</v>
      </c>
      <c r="T20" s="5">
        <f t="shared" si="4"/>
        <v>14.399999999999999</v>
      </c>
      <c r="U20" s="5">
        <f t="shared" si="5"/>
        <v>18</v>
      </c>
      <c r="V20" s="4">
        <f t="shared" si="6"/>
        <v>0.18333333333333335</v>
      </c>
      <c r="X20">
        <v>0.16666666666666666</v>
      </c>
      <c r="Y20" s="2"/>
      <c r="Z20" s="1">
        <v>29</v>
      </c>
      <c r="AA20" s="1">
        <v>28</v>
      </c>
      <c r="AB20" s="1">
        <v>33</v>
      </c>
      <c r="AC20" s="1">
        <v>13</v>
      </c>
      <c r="AD20" s="1">
        <v>12</v>
      </c>
      <c r="AE20" s="1">
        <v>15</v>
      </c>
    </row>
    <row r="21" spans="1:31">
      <c r="A21" s="1">
        <v>20</v>
      </c>
      <c r="B21" s="1">
        <f>[1]Sheet1!B23+1</f>
        <v>19</v>
      </c>
      <c r="C21" s="1">
        <f>[1]Sheet1!C23+1</f>
        <v>20</v>
      </c>
      <c r="D21" s="5">
        <v>0.41560000000000002</v>
      </c>
      <c r="E21" s="5">
        <v>0.41439999999999999</v>
      </c>
      <c r="F21" s="5">
        <v>0.41349999999999998</v>
      </c>
      <c r="G21" s="5">
        <v>4.0000000000000001E-3</v>
      </c>
      <c r="H21" s="5">
        <v>6.1000000000000004E-3</v>
      </c>
      <c r="I21" s="5">
        <v>4.8999999999999998E-3</v>
      </c>
      <c r="J21" s="5">
        <v>0.48549999999999999</v>
      </c>
      <c r="K21" s="5">
        <v>0.48409999999999997</v>
      </c>
      <c r="L21" s="5">
        <v>0.48309999999999997</v>
      </c>
      <c r="M21" s="5">
        <v>4.7000000000000002E-3</v>
      </c>
      <c r="N21" s="5">
        <v>7.1000000000000004E-3</v>
      </c>
      <c r="O21" s="5">
        <v>5.7000000000000002E-3</v>
      </c>
      <c r="P21" s="5">
        <f t="shared" si="0"/>
        <v>34.799999999999997</v>
      </c>
      <c r="Q21" s="5">
        <f t="shared" si="1"/>
        <v>36</v>
      </c>
      <c r="R21" s="5">
        <f t="shared" si="2"/>
        <v>37.199999999999996</v>
      </c>
      <c r="S21" s="5">
        <f t="shared" si="3"/>
        <v>14.399999999999999</v>
      </c>
      <c r="T21" s="5">
        <f t="shared" si="4"/>
        <v>15.6</v>
      </c>
      <c r="U21" s="5">
        <f t="shared" si="5"/>
        <v>18</v>
      </c>
      <c r="V21" s="4">
        <f t="shared" si="6"/>
        <v>7.6999999999999999E-2</v>
      </c>
      <c r="X21">
        <v>6.9999999999999993E-2</v>
      </c>
      <c r="Y21" s="2"/>
      <c r="Z21" s="1">
        <v>29</v>
      </c>
      <c r="AA21" s="1">
        <v>30</v>
      </c>
      <c r="AB21" s="1">
        <v>31</v>
      </c>
      <c r="AC21" s="1">
        <v>12</v>
      </c>
      <c r="AD21" s="1">
        <v>13</v>
      </c>
      <c r="AE21" s="1">
        <v>15</v>
      </c>
    </row>
    <row r="22" spans="1:31">
      <c r="A22" s="1">
        <v>21</v>
      </c>
      <c r="B22" s="1">
        <f>[1]Sheet1!B24+1</f>
        <v>20</v>
      </c>
      <c r="C22" s="1">
        <f>[1]Sheet1!C24+1</f>
        <v>21</v>
      </c>
      <c r="D22" s="5">
        <v>0.71950000000000003</v>
      </c>
      <c r="E22" s="5">
        <v>0.71740000000000004</v>
      </c>
      <c r="F22" s="5">
        <v>0.71589999999999998</v>
      </c>
      <c r="G22" s="5">
        <v>7.0000000000000001E-3</v>
      </c>
      <c r="H22" s="5">
        <v>1.06E-2</v>
      </c>
      <c r="I22" s="5">
        <v>8.5000000000000006E-3</v>
      </c>
      <c r="J22" s="5">
        <v>0.95130000000000003</v>
      </c>
      <c r="K22" s="5">
        <v>0.94850000000000001</v>
      </c>
      <c r="L22" s="5">
        <v>0.9466</v>
      </c>
      <c r="M22" s="5">
        <v>9.2999999999999992E-3</v>
      </c>
      <c r="N22" s="5">
        <v>1.4E-2</v>
      </c>
      <c r="O22" s="5">
        <v>1.12E-2</v>
      </c>
      <c r="P22" s="5">
        <f t="shared" si="0"/>
        <v>33.6</v>
      </c>
      <c r="Q22" s="5">
        <f t="shared" si="1"/>
        <v>39.6</v>
      </c>
      <c r="R22" s="5">
        <f t="shared" si="2"/>
        <v>34.799999999999997</v>
      </c>
      <c r="S22" s="5">
        <f t="shared" si="3"/>
        <v>14.399999999999999</v>
      </c>
      <c r="T22" s="5">
        <f t="shared" si="4"/>
        <v>18</v>
      </c>
      <c r="U22" s="5">
        <f t="shared" si="5"/>
        <v>15.6</v>
      </c>
      <c r="V22" s="4">
        <f t="shared" si="6"/>
        <v>4.0333333333333339E-2</v>
      </c>
      <c r="X22">
        <v>3.6666666666666667E-2</v>
      </c>
      <c r="Y22" s="2"/>
      <c r="Z22" s="1">
        <v>28</v>
      </c>
      <c r="AA22" s="1">
        <v>33</v>
      </c>
      <c r="AB22" s="1">
        <v>29</v>
      </c>
      <c r="AC22" s="1">
        <v>12</v>
      </c>
      <c r="AD22" s="1">
        <v>15</v>
      </c>
      <c r="AE22" s="1">
        <v>13</v>
      </c>
    </row>
    <row r="23" spans="1:31">
      <c r="A23" s="1">
        <v>22</v>
      </c>
      <c r="B23" s="1">
        <f>[1]Sheet1!B25+1</f>
        <v>21</v>
      </c>
      <c r="C23" s="1">
        <f>[1]Sheet1!C25+1</f>
        <v>22</v>
      </c>
      <c r="D23" s="5">
        <v>0.45789999999999997</v>
      </c>
      <c r="E23" s="5">
        <v>0.45660000000000001</v>
      </c>
      <c r="F23" s="5">
        <v>0.45569999999999999</v>
      </c>
      <c r="G23" s="5">
        <v>4.4999999999999997E-3</v>
      </c>
      <c r="H23" s="5">
        <v>6.7000000000000002E-3</v>
      </c>
      <c r="I23" s="5">
        <v>5.4000000000000003E-3</v>
      </c>
      <c r="J23" s="5">
        <v>0.31290000000000001</v>
      </c>
      <c r="K23" s="5">
        <v>0.31190000000000001</v>
      </c>
      <c r="L23" s="5">
        <v>0.31130000000000002</v>
      </c>
      <c r="M23" s="5">
        <v>3.0000000000000001E-3</v>
      </c>
      <c r="N23" s="5">
        <v>4.5999999999999999E-3</v>
      </c>
      <c r="O23" s="5">
        <v>3.5999999999999999E-3</v>
      </c>
      <c r="P23" s="5">
        <f t="shared" si="0"/>
        <v>36</v>
      </c>
      <c r="Q23" s="5">
        <f t="shared" si="1"/>
        <v>37.199999999999996</v>
      </c>
      <c r="R23" s="5">
        <f t="shared" si="2"/>
        <v>34.799999999999997</v>
      </c>
      <c r="S23" s="5">
        <f t="shared" si="3"/>
        <v>19.2</v>
      </c>
      <c r="T23" s="5">
        <f t="shared" si="4"/>
        <v>20.399999999999999</v>
      </c>
      <c r="U23" s="5">
        <f t="shared" si="5"/>
        <v>20.399999999999999</v>
      </c>
      <c r="V23" s="4">
        <f t="shared" si="6"/>
        <v>0.38500000000000006</v>
      </c>
      <c r="X23">
        <v>0.35000000000000003</v>
      </c>
      <c r="Y23" s="2"/>
      <c r="Z23" s="1">
        <v>30</v>
      </c>
      <c r="AA23" s="1">
        <v>31</v>
      </c>
      <c r="AB23" s="1">
        <v>29</v>
      </c>
      <c r="AC23" s="1">
        <v>16</v>
      </c>
      <c r="AD23" s="1">
        <v>17</v>
      </c>
      <c r="AE23" s="1">
        <v>17</v>
      </c>
    </row>
    <row r="24" spans="1:31">
      <c r="A24" s="1">
        <v>23</v>
      </c>
      <c r="B24" s="1">
        <f>[1]Sheet1!B26+1</f>
        <v>3</v>
      </c>
      <c r="C24" s="1">
        <f>[1]Sheet1!C26+1</f>
        <v>23</v>
      </c>
      <c r="D24" s="5">
        <v>0.91139999999999999</v>
      </c>
      <c r="E24" s="5">
        <v>0.90869999999999995</v>
      </c>
      <c r="F24" s="5">
        <v>0.90690000000000004</v>
      </c>
      <c r="G24" s="5">
        <v>8.8999999999999999E-3</v>
      </c>
      <c r="H24" s="5">
        <v>1.34E-2</v>
      </c>
      <c r="I24" s="5">
        <v>1.0699999999999999E-2</v>
      </c>
      <c r="J24" s="5">
        <v>0.71970000000000001</v>
      </c>
      <c r="K24" s="5">
        <v>0.71760000000000002</v>
      </c>
      <c r="L24" s="5">
        <v>0.71609999999999996</v>
      </c>
      <c r="M24" s="5">
        <v>7.0000000000000001E-3</v>
      </c>
      <c r="N24" s="5">
        <v>1.06E-2</v>
      </c>
      <c r="O24" s="5">
        <v>8.5000000000000006E-3</v>
      </c>
      <c r="P24" s="5">
        <f t="shared" si="0"/>
        <v>156</v>
      </c>
      <c r="Q24" s="5">
        <f t="shared" si="1"/>
        <v>168</v>
      </c>
      <c r="R24" s="5">
        <f t="shared" si="2"/>
        <v>180</v>
      </c>
      <c r="S24" s="5">
        <f t="shared" si="3"/>
        <v>72</v>
      </c>
      <c r="T24" s="5">
        <f t="shared" si="4"/>
        <v>84</v>
      </c>
      <c r="U24" s="5">
        <f t="shared" si="5"/>
        <v>84</v>
      </c>
      <c r="V24" s="4">
        <f t="shared" si="6"/>
        <v>0.38500000000000006</v>
      </c>
      <c r="X24">
        <v>0.35000000000000003</v>
      </c>
      <c r="Y24" s="2"/>
      <c r="Z24" s="1">
        <v>130</v>
      </c>
      <c r="AA24" s="1">
        <v>140</v>
      </c>
      <c r="AB24" s="1">
        <v>150</v>
      </c>
      <c r="AC24" s="1">
        <v>60</v>
      </c>
      <c r="AD24" s="1">
        <v>70</v>
      </c>
      <c r="AE24" s="1">
        <v>70</v>
      </c>
    </row>
    <row r="25" spans="1:31">
      <c r="A25" s="1">
        <v>24</v>
      </c>
      <c r="B25" s="1">
        <f>[1]Sheet1!B27+1</f>
        <v>23</v>
      </c>
      <c r="C25" s="1">
        <f>[1]Sheet1!C27+1</f>
        <v>24</v>
      </c>
      <c r="D25" s="5">
        <v>0.90939999999999999</v>
      </c>
      <c r="E25" s="5">
        <v>0.90669999999999995</v>
      </c>
      <c r="F25" s="5">
        <v>0.90490000000000004</v>
      </c>
      <c r="G25" s="5">
        <v>8.8999999999999999E-3</v>
      </c>
      <c r="H25" s="5">
        <v>1.34E-2</v>
      </c>
      <c r="I25" s="5">
        <v>1.0699999999999999E-2</v>
      </c>
      <c r="J25" s="5">
        <v>0.71160000000000001</v>
      </c>
      <c r="K25" s="5">
        <v>0.70950000000000002</v>
      </c>
      <c r="L25" s="5">
        <v>0.70809999999999995</v>
      </c>
      <c r="M25" s="5">
        <v>7.0000000000000001E-3</v>
      </c>
      <c r="N25" s="5">
        <v>1.0500000000000001E-2</v>
      </c>
      <c r="O25" s="5">
        <v>8.3999999999999995E-3</v>
      </c>
      <c r="P25" s="5">
        <f t="shared" si="0"/>
        <v>180</v>
      </c>
      <c r="Q25" s="5">
        <f t="shared" si="1"/>
        <v>156</v>
      </c>
      <c r="R25" s="5">
        <f t="shared" si="2"/>
        <v>168</v>
      </c>
      <c r="S25" s="5">
        <f t="shared" si="3"/>
        <v>84</v>
      </c>
      <c r="T25" s="5">
        <f t="shared" si="4"/>
        <v>84</v>
      </c>
      <c r="U25" s="5">
        <f t="shared" si="5"/>
        <v>72</v>
      </c>
      <c r="V25" s="4">
        <f t="shared" si="6"/>
        <v>0.18333333333333335</v>
      </c>
      <c r="X25">
        <v>0.16666666666666666</v>
      </c>
      <c r="Y25" s="2"/>
      <c r="Z25" s="1">
        <v>150</v>
      </c>
      <c r="AA25" s="1">
        <v>130</v>
      </c>
      <c r="AB25" s="1">
        <v>140</v>
      </c>
      <c r="AC25" s="1">
        <v>70</v>
      </c>
      <c r="AD25" s="1">
        <v>70</v>
      </c>
      <c r="AE25" s="1">
        <v>60</v>
      </c>
    </row>
    <row r="26" spans="1:31">
      <c r="A26" s="1">
        <v>25</v>
      </c>
      <c r="B26" s="1">
        <f>[1]Sheet1!B28+1</f>
        <v>24</v>
      </c>
      <c r="C26" s="1">
        <f>[1]Sheet1!C28+1</f>
        <v>25</v>
      </c>
      <c r="D26" s="5">
        <v>0.20599999999999999</v>
      </c>
      <c r="E26" s="5">
        <v>0.2054</v>
      </c>
      <c r="F26" s="5">
        <v>0.20499999999999999</v>
      </c>
      <c r="G26" s="5">
        <v>2E-3</v>
      </c>
      <c r="H26" s="5">
        <v>3.0000000000000001E-3</v>
      </c>
      <c r="I26" s="5">
        <v>2.3999999999999998E-3</v>
      </c>
      <c r="J26" s="5">
        <v>0.10489999999999999</v>
      </c>
      <c r="K26" s="5">
        <v>0.1046</v>
      </c>
      <c r="L26" s="5">
        <v>0.10440000000000001</v>
      </c>
      <c r="M26" s="5">
        <v>1E-3</v>
      </c>
      <c r="N26" s="5">
        <v>1.5E-3</v>
      </c>
      <c r="O26" s="5">
        <v>0.10440000000000001</v>
      </c>
      <c r="P26" s="5">
        <f t="shared" si="0"/>
        <v>24</v>
      </c>
      <c r="Q26" s="5">
        <f t="shared" si="1"/>
        <v>24</v>
      </c>
      <c r="R26" s="5">
        <f t="shared" si="2"/>
        <v>24</v>
      </c>
      <c r="S26" s="5">
        <f t="shared" si="3"/>
        <v>9.6</v>
      </c>
      <c r="T26" s="5">
        <f t="shared" si="4"/>
        <v>9.6</v>
      </c>
      <c r="U26" s="5">
        <f t="shared" si="5"/>
        <v>10.799999999999999</v>
      </c>
      <c r="V26" s="4">
        <f t="shared" si="6"/>
        <v>0.55000000000000004</v>
      </c>
      <c r="X26">
        <v>0.5</v>
      </c>
      <c r="Y26" s="2"/>
      <c r="Z26" s="1">
        <v>20</v>
      </c>
      <c r="AA26" s="1">
        <v>20</v>
      </c>
      <c r="AB26" s="1">
        <v>20</v>
      </c>
      <c r="AC26" s="1">
        <v>8</v>
      </c>
      <c r="AD26" s="1">
        <v>8</v>
      </c>
      <c r="AE26" s="1">
        <v>9</v>
      </c>
    </row>
    <row r="27" spans="1:31">
      <c r="A27" s="1">
        <v>26</v>
      </c>
      <c r="B27" s="1">
        <f>[1]Sheet1!B29+1</f>
        <v>6</v>
      </c>
      <c r="C27" s="1">
        <f>[1]Sheet1!C29+1</f>
        <v>26</v>
      </c>
      <c r="D27" s="5">
        <v>0.28839999999999999</v>
      </c>
      <c r="E27" s="5">
        <v>0.28760000000000002</v>
      </c>
      <c r="F27" s="5">
        <v>0.28699999999999998</v>
      </c>
      <c r="G27" s="5">
        <v>2.8E-3</v>
      </c>
      <c r="H27" s="5">
        <v>4.1999999999999997E-3</v>
      </c>
      <c r="I27" s="5">
        <v>3.3999999999999998E-3</v>
      </c>
      <c r="J27" s="5">
        <v>0.14680000000000001</v>
      </c>
      <c r="K27" s="5">
        <v>0.1464</v>
      </c>
      <c r="L27" s="5">
        <v>0.14610000000000001</v>
      </c>
      <c r="M27" s="5">
        <v>1.4E-3</v>
      </c>
      <c r="N27" s="5">
        <v>2.0999999999999999E-3</v>
      </c>
      <c r="O27" s="5">
        <v>1.6999999999999999E-3</v>
      </c>
      <c r="P27" s="5">
        <f t="shared" si="0"/>
        <v>21.599999999999998</v>
      </c>
      <c r="Q27" s="5">
        <f t="shared" si="1"/>
        <v>26.4</v>
      </c>
      <c r="R27" s="5">
        <f t="shared" si="2"/>
        <v>24</v>
      </c>
      <c r="S27" s="5">
        <f t="shared" si="3"/>
        <v>8.4</v>
      </c>
      <c r="T27" s="5">
        <f t="shared" si="4"/>
        <v>10.799999999999999</v>
      </c>
      <c r="U27" s="5">
        <f t="shared" si="5"/>
        <v>10.799999999999999</v>
      </c>
      <c r="V27" s="4">
        <f t="shared" si="6"/>
        <v>0.55000000000000004</v>
      </c>
      <c r="X27">
        <v>0.5</v>
      </c>
      <c r="Y27" s="2"/>
      <c r="Z27" s="1">
        <v>18</v>
      </c>
      <c r="AA27" s="1">
        <v>22</v>
      </c>
      <c r="AB27" s="1">
        <v>20</v>
      </c>
      <c r="AC27" s="1">
        <v>7</v>
      </c>
      <c r="AD27" s="1">
        <v>9</v>
      </c>
      <c r="AE27" s="1">
        <v>9</v>
      </c>
    </row>
    <row r="28" spans="1:31">
      <c r="A28" s="1">
        <v>27</v>
      </c>
      <c r="B28" s="1">
        <f>[1]Sheet1!B30+1</f>
        <v>26</v>
      </c>
      <c r="C28" s="1">
        <f>[1]Sheet1!C30+1</f>
        <v>27</v>
      </c>
      <c r="D28" s="5">
        <v>1.0748</v>
      </c>
      <c r="E28" s="5">
        <v>1.0717000000000001</v>
      </c>
      <c r="F28" s="5">
        <v>1.0694999999999999</v>
      </c>
      <c r="G28" s="5">
        <v>1.0500000000000001E-2</v>
      </c>
      <c r="H28" s="5">
        <v>1.5800000000000002E-2</v>
      </c>
      <c r="I28" s="5">
        <v>1.2699999999999999E-2</v>
      </c>
      <c r="J28" s="5">
        <v>0.94769999999999999</v>
      </c>
      <c r="K28" s="5">
        <v>0.94489999999999996</v>
      </c>
      <c r="L28" s="5">
        <v>0.94299999999999995</v>
      </c>
      <c r="M28" s="5">
        <v>9.2999999999999992E-3</v>
      </c>
      <c r="N28" s="5">
        <v>1.4E-2</v>
      </c>
      <c r="O28" s="5">
        <v>1.12E-2</v>
      </c>
      <c r="P28" s="5">
        <f t="shared" si="0"/>
        <v>22.8</v>
      </c>
      <c r="Q28" s="5">
        <f t="shared" si="1"/>
        <v>26.4</v>
      </c>
      <c r="R28" s="5">
        <f t="shared" si="2"/>
        <v>22.8</v>
      </c>
      <c r="S28" s="5">
        <f t="shared" si="3"/>
        <v>7.1999999999999993</v>
      </c>
      <c r="T28" s="5">
        <f t="shared" si="4"/>
        <v>9.6</v>
      </c>
      <c r="U28" s="5">
        <f t="shared" si="5"/>
        <v>7.1999999999999993</v>
      </c>
      <c r="V28" s="4">
        <f t="shared" si="6"/>
        <v>0.55000000000000004</v>
      </c>
      <c r="X28">
        <v>0.5</v>
      </c>
      <c r="Y28" s="2"/>
      <c r="Z28" s="1">
        <v>19</v>
      </c>
      <c r="AA28" s="1">
        <v>22</v>
      </c>
      <c r="AB28" s="1">
        <v>19</v>
      </c>
      <c r="AC28" s="1">
        <v>6</v>
      </c>
      <c r="AD28" s="1">
        <v>8</v>
      </c>
      <c r="AE28" s="1">
        <v>6</v>
      </c>
    </row>
    <row r="29" spans="1:31">
      <c r="A29" s="1">
        <v>28</v>
      </c>
      <c r="B29" s="1">
        <f>[1]Sheet1!B31+1</f>
        <v>27</v>
      </c>
      <c r="C29" s="1">
        <f>[1]Sheet1!C31+1</f>
        <v>28</v>
      </c>
      <c r="D29" s="5">
        <v>0.81620000000000004</v>
      </c>
      <c r="E29" s="5">
        <v>0.81379999999999997</v>
      </c>
      <c r="F29" s="5">
        <v>0.81220000000000003</v>
      </c>
      <c r="G29" s="5">
        <v>8.0000000000000002E-3</v>
      </c>
      <c r="H29" s="5">
        <v>1.2E-2</v>
      </c>
      <c r="I29" s="5">
        <v>9.5999999999999992E-3</v>
      </c>
      <c r="J29" s="5">
        <v>0.71109999999999995</v>
      </c>
      <c r="K29" s="5">
        <v>0.70899999999999996</v>
      </c>
      <c r="L29" s="5">
        <v>0.70760000000000001</v>
      </c>
      <c r="M29" s="5">
        <v>7.0000000000000001E-3</v>
      </c>
      <c r="N29" s="5">
        <v>1.0500000000000001E-2</v>
      </c>
      <c r="O29" s="5">
        <v>8.3999999999999995E-3</v>
      </c>
      <c r="P29" s="5">
        <f t="shared" si="0"/>
        <v>45.6</v>
      </c>
      <c r="Q29" s="5">
        <f t="shared" si="1"/>
        <v>50.4</v>
      </c>
      <c r="R29" s="5">
        <f t="shared" si="2"/>
        <v>48</v>
      </c>
      <c r="S29" s="5">
        <f t="shared" si="3"/>
        <v>27.599999999999998</v>
      </c>
      <c r="T29" s="5">
        <f t="shared" si="4"/>
        <v>30</v>
      </c>
      <c r="U29" s="5">
        <f t="shared" si="5"/>
        <v>26.4</v>
      </c>
      <c r="V29" s="4">
        <f t="shared" si="6"/>
        <v>0.55000000000000004</v>
      </c>
      <c r="X29">
        <v>0.5</v>
      </c>
      <c r="Y29" s="2"/>
      <c r="Z29" s="1">
        <v>38</v>
      </c>
      <c r="AA29" s="1">
        <v>42</v>
      </c>
      <c r="AB29" s="1">
        <v>40</v>
      </c>
      <c r="AC29" s="1">
        <v>23</v>
      </c>
      <c r="AD29" s="1">
        <v>25</v>
      </c>
      <c r="AE29" s="1">
        <v>22</v>
      </c>
    </row>
    <row r="30" spans="1:31">
      <c r="A30" s="1">
        <v>29</v>
      </c>
      <c r="B30" s="1">
        <f>[1]Sheet1!B32+1</f>
        <v>28</v>
      </c>
      <c r="C30" s="1">
        <f>[1]Sheet1!C32+1</f>
        <v>29</v>
      </c>
      <c r="D30" s="5">
        <v>0.5151</v>
      </c>
      <c r="E30" s="5">
        <v>0.51349999999999996</v>
      </c>
      <c r="F30" s="5">
        <v>0.51249999999999996</v>
      </c>
      <c r="G30" s="5">
        <v>5.0000000000000001E-3</v>
      </c>
      <c r="H30" s="5">
        <v>7.6E-3</v>
      </c>
      <c r="I30" s="5">
        <v>6.0000000000000001E-3</v>
      </c>
      <c r="J30" s="5">
        <v>0.26229999999999998</v>
      </c>
      <c r="K30" s="5">
        <v>0.2616</v>
      </c>
      <c r="L30" s="5">
        <v>0.26100000000000001</v>
      </c>
      <c r="M30" s="5">
        <v>2.5000000000000001E-3</v>
      </c>
      <c r="N30" s="5">
        <v>3.8E-3</v>
      </c>
      <c r="O30" s="5">
        <v>3.0999999999999999E-3</v>
      </c>
      <c r="P30" s="5">
        <f t="shared" si="0"/>
        <v>72</v>
      </c>
      <c r="Q30" s="5">
        <f t="shared" si="1"/>
        <v>84</v>
      </c>
      <c r="R30" s="5">
        <f t="shared" si="2"/>
        <v>84</v>
      </c>
      <c r="S30" s="5">
        <f t="shared" si="3"/>
        <v>216</v>
      </c>
      <c r="T30" s="5">
        <f t="shared" si="4"/>
        <v>252</v>
      </c>
      <c r="U30" s="5">
        <f t="shared" si="5"/>
        <v>252</v>
      </c>
      <c r="V30" s="4">
        <f t="shared" si="6"/>
        <v>0.55000000000000004</v>
      </c>
      <c r="X30">
        <v>0.5</v>
      </c>
      <c r="Y30" s="2"/>
      <c r="Z30" s="1">
        <v>60</v>
      </c>
      <c r="AA30" s="1">
        <v>70</v>
      </c>
      <c r="AB30" s="1">
        <v>70</v>
      </c>
      <c r="AC30" s="1">
        <v>180</v>
      </c>
      <c r="AD30" s="1">
        <v>210</v>
      </c>
      <c r="AE30" s="1">
        <v>210</v>
      </c>
    </row>
    <row r="31" spans="1:31">
      <c r="A31" s="1">
        <v>30</v>
      </c>
      <c r="B31" s="1">
        <f>[1]Sheet1!B33+1</f>
        <v>29</v>
      </c>
      <c r="C31" s="1">
        <f>[1]Sheet1!C33+1</f>
        <v>30</v>
      </c>
      <c r="D31" s="5">
        <v>0.98899999999999999</v>
      </c>
      <c r="E31" s="5">
        <v>0.98599999999999999</v>
      </c>
      <c r="F31" s="5">
        <v>0.98409999999999997</v>
      </c>
      <c r="G31" s="5">
        <v>9.7000000000000003E-3</v>
      </c>
      <c r="H31" s="5">
        <v>1.46E-2</v>
      </c>
      <c r="I31" s="5">
        <v>1.1599999999999999E-2</v>
      </c>
      <c r="J31" s="5">
        <v>0.97740000000000005</v>
      </c>
      <c r="K31" s="5">
        <v>0.97450000000000003</v>
      </c>
      <c r="L31" s="5">
        <v>0.97260000000000002</v>
      </c>
      <c r="M31" s="5">
        <v>9.5999999999999992E-3</v>
      </c>
      <c r="N31" s="5">
        <v>1.44E-2</v>
      </c>
      <c r="O31" s="5">
        <v>1.15E-2</v>
      </c>
      <c r="P31" s="5">
        <f t="shared" si="0"/>
        <v>54</v>
      </c>
      <c r="Q31" s="5">
        <f t="shared" si="1"/>
        <v>61.199999999999996</v>
      </c>
      <c r="R31" s="5">
        <f t="shared" si="2"/>
        <v>64.8</v>
      </c>
      <c r="S31" s="5">
        <f t="shared" si="3"/>
        <v>24</v>
      </c>
      <c r="T31" s="5">
        <f t="shared" si="4"/>
        <v>27.599999999999998</v>
      </c>
      <c r="U31" s="5">
        <f t="shared" si="5"/>
        <v>32.4</v>
      </c>
      <c r="V31" s="4">
        <f t="shared" si="6"/>
        <v>0.18333333333333335</v>
      </c>
      <c r="X31">
        <v>0.16666666666666666</v>
      </c>
      <c r="Y31" s="2"/>
      <c r="Z31" s="1">
        <v>45</v>
      </c>
      <c r="AA31" s="1">
        <v>51</v>
      </c>
      <c r="AB31" s="1">
        <v>54</v>
      </c>
      <c r="AC31" s="1">
        <v>20</v>
      </c>
      <c r="AD31" s="1">
        <v>23</v>
      </c>
      <c r="AE31" s="1">
        <v>27</v>
      </c>
    </row>
    <row r="32" spans="1:31">
      <c r="A32" s="1">
        <v>31</v>
      </c>
      <c r="B32" s="1">
        <f>[1]Sheet1!B34+1</f>
        <v>30</v>
      </c>
      <c r="C32" s="1">
        <f>[1]Sheet1!C34+1</f>
        <v>31</v>
      </c>
      <c r="D32" s="5">
        <v>0.31509999999999999</v>
      </c>
      <c r="E32" s="5">
        <v>0.31419999999999998</v>
      </c>
      <c r="F32" s="5">
        <v>0.31359999999999999</v>
      </c>
      <c r="G32" s="5">
        <v>3.0999999999999999E-3</v>
      </c>
      <c r="H32" s="5">
        <v>4.5999999999999999E-3</v>
      </c>
      <c r="I32" s="5">
        <v>3.7000000000000002E-3</v>
      </c>
      <c r="J32" s="5">
        <v>0.36370000000000002</v>
      </c>
      <c r="K32" s="5">
        <v>0.36620000000000003</v>
      </c>
      <c r="L32" s="5">
        <v>0.36549999999999999</v>
      </c>
      <c r="M32" s="5">
        <v>3.5999999999999999E-3</v>
      </c>
      <c r="N32" s="5">
        <v>5.4000000000000003E-3</v>
      </c>
      <c r="O32" s="5">
        <v>4.3E-3</v>
      </c>
      <c r="P32" s="5">
        <f t="shared" si="0"/>
        <v>84</v>
      </c>
      <c r="Q32" s="5">
        <f t="shared" si="1"/>
        <v>86.399999999999991</v>
      </c>
      <c r="R32" s="5">
        <f t="shared" si="2"/>
        <v>81.599999999999994</v>
      </c>
      <c r="S32" s="5">
        <f t="shared" si="3"/>
        <v>39.6</v>
      </c>
      <c r="T32" s="5">
        <f t="shared" si="4"/>
        <v>42</v>
      </c>
      <c r="U32" s="5">
        <f t="shared" si="5"/>
        <v>38.4</v>
      </c>
      <c r="V32" s="4">
        <f t="shared" si="6"/>
        <v>0.18333333333333335</v>
      </c>
      <c r="X32">
        <v>0.16666666666666666</v>
      </c>
      <c r="Y32" s="2"/>
      <c r="Z32" s="1">
        <v>70</v>
      </c>
      <c r="AA32" s="1">
        <v>72</v>
      </c>
      <c r="AB32" s="1">
        <v>68</v>
      </c>
      <c r="AC32" s="1">
        <v>33</v>
      </c>
      <c r="AD32" s="1">
        <v>35</v>
      </c>
      <c r="AE32" s="1">
        <v>32</v>
      </c>
    </row>
    <row r="33" spans="1:31">
      <c r="A33" s="1">
        <v>32</v>
      </c>
      <c r="B33" s="1">
        <f>[1]Sheet1!B35+1</f>
        <v>31</v>
      </c>
      <c r="C33" s="1">
        <f>[1]Sheet1!C35+1</f>
        <v>32</v>
      </c>
      <c r="D33" s="5">
        <v>0.34610000000000002</v>
      </c>
      <c r="E33" s="5">
        <v>0.34499999999999997</v>
      </c>
      <c r="F33" s="5">
        <v>0.34439999999999998</v>
      </c>
      <c r="G33" s="5">
        <v>3.3999999999999998E-3</v>
      </c>
      <c r="H33" s="5">
        <v>5.1000000000000004E-3</v>
      </c>
      <c r="I33" s="5">
        <v>4.0000000000000001E-3</v>
      </c>
      <c r="J33" s="5">
        <v>0.53810000000000002</v>
      </c>
      <c r="K33" s="5">
        <v>0.53649999999999998</v>
      </c>
      <c r="L33" s="5">
        <v>0.53549999999999998</v>
      </c>
      <c r="M33" s="5">
        <v>5.3E-3</v>
      </c>
      <c r="N33" s="5">
        <v>7.9000000000000008E-3</v>
      </c>
      <c r="O33" s="5">
        <v>6.3E-3</v>
      </c>
      <c r="P33" s="5">
        <f t="shared" si="0"/>
        <v>24</v>
      </c>
      <c r="Q33" s="5">
        <f t="shared" si="1"/>
        <v>24</v>
      </c>
      <c r="R33" s="5">
        <f t="shared" si="2"/>
        <v>24</v>
      </c>
      <c r="S33" s="5">
        <f t="shared" si="3"/>
        <v>15.6</v>
      </c>
      <c r="T33" s="5">
        <f t="shared" si="4"/>
        <v>16.8</v>
      </c>
      <c r="U33" s="5">
        <f t="shared" si="5"/>
        <v>15.6</v>
      </c>
      <c r="V33" s="4">
        <f t="shared" si="6"/>
        <v>3.6666666666666667E-2</v>
      </c>
      <c r="X33">
        <v>3.3333333333333333E-2</v>
      </c>
      <c r="Y33" s="2"/>
      <c r="Z33" s="1">
        <v>20</v>
      </c>
      <c r="AA33" s="1">
        <v>20</v>
      </c>
      <c r="AB33" s="1">
        <v>20</v>
      </c>
      <c r="AC33" s="1">
        <v>13</v>
      </c>
      <c r="AD33" s="1">
        <v>14</v>
      </c>
      <c r="AE33" s="1">
        <v>13</v>
      </c>
    </row>
    <row r="34" spans="1:31">
      <c r="A34" s="1"/>
      <c r="B34" s="1"/>
      <c r="C34" s="1"/>
      <c r="D34" s="1"/>
      <c r="E34" s="1"/>
      <c r="F34" s="1"/>
      <c r="G34" s="1"/>
      <c r="H34" s="1"/>
      <c r="I34" s="1"/>
      <c r="P34" s="3"/>
      <c r="Q34" s="3"/>
      <c r="R34" s="3"/>
      <c r="S34" s="3"/>
      <c r="T34" s="3"/>
      <c r="U34" s="3"/>
    </row>
    <row r="35" spans="1:31">
      <c r="A35" s="1"/>
      <c r="B35" s="1"/>
      <c r="C35" s="1"/>
      <c r="D35" s="1"/>
      <c r="E35" s="1"/>
      <c r="F35" s="1"/>
      <c r="G35" s="1"/>
      <c r="H35" s="1"/>
      <c r="I35" s="1"/>
    </row>
    <row r="36" spans="1:31">
      <c r="A36" s="1"/>
      <c r="B36" s="1"/>
      <c r="C36" s="1"/>
      <c r="D36" s="1"/>
      <c r="E36" s="1"/>
      <c r="F36" s="1"/>
      <c r="G36" s="1"/>
      <c r="H36" s="1"/>
      <c r="I36" s="1"/>
    </row>
    <row r="37" spans="1:31">
      <c r="A37" s="1"/>
      <c r="B37" s="1"/>
      <c r="C37" s="1"/>
      <c r="D37" s="1"/>
      <c r="E37" s="1"/>
      <c r="F37" s="1"/>
      <c r="G37" s="1"/>
      <c r="H37" s="1"/>
      <c r="I37" s="1"/>
    </row>
    <row r="38" spans="1:31">
      <c r="A38" s="1"/>
      <c r="B38" s="1"/>
      <c r="C38" s="1"/>
      <c r="D38" s="1"/>
      <c r="E38" s="1"/>
      <c r="F38" s="1"/>
      <c r="G38" s="1"/>
      <c r="H38" s="1"/>
      <c r="I38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</dc:creator>
  <cp:lastModifiedBy>Anand Kumar</cp:lastModifiedBy>
  <dcterms:created xsi:type="dcterms:W3CDTF">2015-05-18T07:10:28Z</dcterms:created>
  <dcterms:modified xsi:type="dcterms:W3CDTF">2025-11-08T12:20:40Z</dcterms:modified>
</cp:coreProperties>
</file>